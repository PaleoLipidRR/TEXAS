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5.xml" ContentType="application/vnd.openxmlformats-officedocument.spreadsheetml.comment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ivot_source" sheetId="1" state="visible" r:id="rId2"/>
    <sheet name="Sheet1" sheetId="2" state="visible" r:id="rId3"/>
    <sheet name="Frac_isoGDGTs" sheetId="3" state="visible" r:id="rId4"/>
    <sheet name="Strain_IDs" sheetId="4" state="visible" r:id="rId5"/>
    <sheet name="master_cultures" sheetId="5" state="visible" r:id="rId6"/>
    <sheet name="Sheet3" sheetId="6" state="visible" r:id="rId7"/>
    <sheet name="ringIndices_plot_temp" sheetId="7" state="visible" r:id="rId8"/>
    <sheet name="ringIndices_plot_pH" sheetId="8" state="visible" r:id="rId9"/>
  </sheets>
  <definedNames>
    <definedName function="false" hidden="true" localSheetId="3" name="_xlnm._FilterDatabase" vbProcedure="false">Strain_IDs!$A$1:$R$34</definedName>
  </definedName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2" authorId="0">
      <text>
        <r>
          <rPr>
            <sz val="11"/>
            <color rgb="FF000000"/>
            <rFont val="Aptos Narrow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the method whether they look for GDGT-6 or not</t>
        </r>
      </text>
    </comment>
    <comment ref="U1" authorId="0">
      <text>
        <r>
          <rPr>
            <sz val="11"/>
            <color rgb="FF000000"/>
            <rFont val="Aptos Narrow"/>
            <family val="2"/>
            <charset val="1"/>
          </rPr>
          <t xml:space="preserve">Ronnakrit Rattanasriampaipong:
</t>
        </r>
        <r>
          <rPr>
            <sz val="9"/>
            <color rgb="FF000000"/>
            <rFont val="Tahoma"/>
            <family val="2"/>
            <charset val="1"/>
          </rPr>
          <t xml:space="preserve">
https://bacdive.dsmz.de/strain/17800</t>
        </r>
      </text>
    </comment>
  </commentList>
</comments>
</file>

<file path=xl/sharedStrings.xml><?xml version="1.0" encoding="utf-8"?>
<sst xmlns="http://schemas.openxmlformats.org/spreadsheetml/2006/main" count="9104" uniqueCount="1003">
  <si>
    <t xml:space="preserve">(empty)</t>
  </si>
  <si>
    <t xml:space="preserve">reported_Salinity</t>
  </si>
  <si>
    <t xml:space="preserve">short_remark</t>
  </si>
  <si>
    <t xml:space="preserve">Total Result</t>
  </si>
  <si>
    <t xml:space="preserve">Data from original source</t>
  </si>
  <si>
    <t xml:space="preserve">Data provided by Dr. Felix Elling</t>
  </si>
  <si>
    <t xml:space="preserve">Data retrieved from Bale et al. (2019) AEM</t>
  </si>
  <si>
    <t xml:space="preserve">Data retrieved from Tierney dataset</t>
  </si>
  <si>
    <t xml:space="preserve">GDGT fractions digitized from the figure in the original paper</t>
  </si>
  <si>
    <t xml:space="preserve">reported_Temp</t>
  </si>
  <si>
    <t xml:space="preserve">- all -</t>
  </si>
  <si>
    <t xml:space="preserve">NCBI_family</t>
  </si>
  <si>
    <t xml:space="preserve">GTDB_class</t>
  </si>
  <si>
    <t xml:space="preserve">GTDB_order</t>
  </si>
  <si>
    <t xml:space="preserve">Count of sampleName</t>
  </si>
  <si>
    <t xml:space="preserve"> f__Nitrosopumilaceae</t>
  </si>
  <si>
    <t xml:space="preserve"> c__Nitrososphaeria</t>
  </si>
  <si>
    <t xml:space="preserve"> o__Nitrososphaerales</t>
  </si>
  <si>
    <t xml:space="preserve"> x__Nitrososphaerota incertae sedis</t>
  </si>
  <si>
    <t xml:space="preserve">f__</t>
  </si>
  <si>
    <t xml:space="preserve">c__Nitrososphaeria</t>
  </si>
  <si>
    <t xml:space="preserve">o__Nitrososphaerales</t>
  </si>
  <si>
    <t xml:space="preserve">f__Acidilobaceae</t>
  </si>
  <si>
    <t xml:space="preserve">c__Thermoprotei_A</t>
  </si>
  <si>
    <t xml:space="preserve">o__Sulfolobales</t>
  </si>
  <si>
    <t xml:space="preserve">f__Cenarchaeaceae</t>
  </si>
  <si>
    <t xml:space="preserve">f__Desulfurococcaceae</t>
  </si>
  <si>
    <t xml:space="preserve">f__Nitrosopumilaceae</t>
  </si>
  <si>
    <t xml:space="preserve">f__Nitrososphaeraceae</t>
  </si>
  <si>
    <t xml:space="preserve">f__Picrophilaceae</t>
  </si>
  <si>
    <t xml:space="preserve">c__Thermoplasmata</t>
  </si>
  <si>
    <t xml:space="preserve">o__Thermoplasmatales</t>
  </si>
  <si>
    <t xml:space="preserve">f__Sulfolobaceae</t>
  </si>
  <si>
    <t xml:space="preserve">f__Thermoproteaceae</t>
  </si>
  <si>
    <t xml:space="preserve">c__Thermoprotei</t>
  </si>
  <si>
    <t xml:space="preserve">o__Thermoproteales</t>
  </si>
  <si>
    <t xml:space="preserve">f__Ca. Nitrosocaldaceae</t>
  </si>
  <si>
    <t xml:space="preserve">organism_reported_names</t>
  </si>
  <si>
    <t xml:space="preserve">phyloT_leaf_order</t>
  </si>
  <si>
    <t xml:space="preserve">GTDB_phyloT_leaf_order</t>
  </si>
  <si>
    <t xml:space="preserve">Strains</t>
  </si>
  <si>
    <t xml:space="preserve">GTDB ID</t>
  </si>
  <si>
    <t xml:space="preserve">PhyloT_ID</t>
  </si>
  <si>
    <t xml:space="preserve">NCBI ID</t>
  </si>
  <si>
    <t xml:space="preserve">organism_broadClass2</t>
  </si>
  <si>
    <t xml:space="preserve">organism_broadClass3</t>
  </si>
  <si>
    <t xml:space="preserve">fCren_prime vs fCren trend</t>
  </si>
  <si>
    <t xml:space="preserve">seawater temperature at sampling depth (°C)</t>
  </si>
  <si>
    <t xml:space="preserve">average sampling water depth (m)</t>
  </si>
  <si>
    <t xml:space="preserve">reported sampling depth range</t>
  </si>
  <si>
    <t xml:space="preserve">temperature optimum</t>
  </si>
  <si>
    <t xml:space="preserve">Isolate from</t>
  </si>
  <si>
    <t xml:space="preserve">Geographic location</t>
  </si>
  <si>
    <t xml:space="preserve">Source</t>
  </si>
  <si>
    <t xml:space="preserve">DOI</t>
  </si>
  <si>
    <t xml:space="preserve">16S_rRNA_accessionID</t>
  </si>
  <si>
    <t xml:space="preserve">amoA_gene_accessionID</t>
  </si>
  <si>
    <t xml:space="preserve">chromosome_complete_accessionID</t>
  </si>
  <si>
    <t xml:space="preserve">Nitrosopumilus oxyclinae HCE1</t>
  </si>
  <si>
    <t xml:space="preserve">HCE1</t>
  </si>
  <si>
    <t xml:space="preserve">GCF_013407165.1</t>
  </si>
  <si>
    <t xml:space="preserve">RS_GCF_013407165.1</t>
  </si>
  <si>
    <t xml:space="preserve">Group 1.1a</t>
  </si>
  <si>
    <t xml:space="preserve">Group 1.1a-Nitrosopumilus</t>
  </si>
  <si>
    <t xml:space="preserve">SCM1-like; High cren/low cren'</t>
  </si>
  <si>
    <t xml:space="preserve">17 m</t>
  </si>
  <si>
    <t xml:space="preserve">the lower euphotic zone of coastal waters</t>
  </si>
  <si>
    <t xml:space="preserve">Qin et al. (2015)</t>
  </si>
  <si>
    <t xml:space="preserve">https://doi.org/10.1073/pnas.1501568112</t>
  </si>
  <si>
    <t xml:space="preserve">NR_159207.1</t>
  </si>
  <si>
    <t xml:space="preserve">KX950755.1</t>
  </si>
  <si>
    <t xml:space="preserve">NZ_CP026994.1</t>
  </si>
  <si>
    <t xml:space="preserve">Nitrosopumilus cobalaminigenes HCA1</t>
  </si>
  <si>
    <t xml:space="preserve">HCA1</t>
  </si>
  <si>
    <t xml:space="preserve">GCF_013407145.1</t>
  </si>
  <si>
    <t xml:space="preserve">RS_GCF_013407145.1</t>
  </si>
  <si>
    <t xml:space="preserve">50 m</t>
  </si>
  <si>
    <t xml:space="preserve">Seawater samples for enrichment were collected from 50-m water depth at the Puget Sound Regional Synthesis Model (PRISM) Station P10 (47.91 N, 122.62 W) in Hood Canal, Washington, in October 2008. (Hood Canal station P10 - Oligotrophic AOA)</t>
  </si>
  <si>
    <t xml:space="preserve">NR_159206.1</t>
  </si>
  <si>
    <t xml:space="preserve">KX950754.1</t>
  </si>
  <si>
    <t xml:space="preserve">NZ_CP026993.1</t>
  </si>
  <si>
    <t xml:space="preserve">Cand. Nitrosomarinus catalina SPOT1</t>
  </si>
  <si>
    <t xml:space="preserve">SPOT1</t>
  </si>
  <si>
    <t xml:space="preserve">GCF_002156965.1</t>
  </si>
  <si>
    <t xml:space="preserve">RS_GCF_002156965.1</t>
  </si>
  <si>
    <t xml:space="preserve">NZ_CP021324.1</t>
  </si>
  <si>
    <t xml:space="preserve">Nitrosopumilus ureiphilus PS0</t>
  </si>
  <si>
    <t xml:space="preserve">PS0</t>
  </si>
  <si>
    <t xml:space="preserve">GCF_013407185.1</t>
  </si>
  <si>
    <t xml:space="preserve">RS_GCF_013407185.1</t>
  </si>
  <si>
    <t xml:space="preserve">0 m (on a beach)</t>
  </si>
  <si>
    <t xml:space="preserve">Seawater samples for enrichment of ammonia oxidizing archaea (AOA) were collected from Puget Sound surface sediment on a beach in August 2006 (Puget Sound main basin - oligotrophic AOA)</t>
  </si>
  <si>
    <t xml:space="preserve">NR_159208.1</t>
  </si>
  <si>
    <t xml:space="preserve">KX950756.1</t>
  </si>
  <si>
    <t xml:space="preserve">NZ_CP026995.1</t>
  </si>
  <si>
    <t xml:space="preserve">Nitrosopumilus adriaticus NF5</t>
  </si>
  <si>
    <t xml:space="preserve">NF5</t>
  </si>
  <si>
    <t xml:space="preserve">GCF_000956175.1</t>
  </si>
  <si>
    <t xml:space="preserve">RS_GCF_000956175.1</t>
  </si>
  <si>
    <t xml:space="preserve">NAOA2-like; Low cren/high cren'</t>
  </si>
  <si>
    <t xml:space="preserve">0.5 m</t>
  </si>
  <si>
    <t xml:space="preserve">Northern Adriatic coastal surface water sampled off Piran (Bayer et al., 2016 ISME)  - November 2011</t>
  </si>
  <si>
    <t xml:space="preserve">Northern Adriatic Sea</t>
  </si>
  <si>
    <t xml:space="preserve">Elling et al. (2017)</t>
  </si>
  <si>
    <t xml:space="preserve">https://doi.org/10.1111/1462-2920.13759</t>
  </si>
  <si>
    <t xml:space="preserve">NR_177395.1</t>
  </si>
  <si>
    <t xml:space="preserve">NZ_CP011070.1</t>
  </si>
  <si>
    <t xml:space="preserve">Nitrosopumilus adriaticus CCS1</t>
  </si>
  <si>
    <t xml:space="preserve">CCS1</t>
  </si>
  <si>
    <t xml:space="preserve">NZ_CP167059.1</t>
  </si>
  <si>
    <t xml:space="preserve">Ca. Nitrosopumilus sp. NAOA2</t>
  </si>
  <si>
    <t xml:space="preserve">NAOA2</t>
  </si>
  <si>
    <t xml:space="preserve">5 m</t>
  </si>
  <si>
    <t xml:space="preserve">isolated from surface water samples from the Benguela upwelling system at station GeoB 12802 (NAOA2; 5 m water depth; in situ temperature 14.9 °C; 25°30′ S, 13°27′E) taken during R/V Meteor cruise M76/1 in 2008 (Zabel et al., 2008)</t>
  </si>
  <si>
    <t xml:space="preserve">Elling et al. (2015)</t>
  </si>
  <si>
    <t xml:space="preserve">https://doi.org/10.1016/j.gca.2015.09.004</t>
  </si>
  <si>
    <t xml:space="preserve">KT380501.1</t>
  </si>
  <si>
    <t xml:space="preserve">KT380499.1</t>
  </si>
  <si>
    <t xml:space="preserve">Nitrosopumilus koreensis AR1</t>
  </si>
  <si>
    <t xml:space="preserve">AR1</t>
  </si>
  <si>
    <t xml:space="preserve">GCF_000299365.1</t>
  </si>
  <si>
    <t xml:space="preserve">RS_GCF_000299365.1</t>
  </si>
  <si>
    <t xml:space="preserve">Intermediate between SCM1-like and NAOA2-like</t>
  </si>
  <si>
    <t xml:space="preserve">78 m</t>
  </si>
  <si>
    <t xml:space="preserve">Marine sediments (ca. 100 g of sediment from a depth of 0 to 1 cm) collected from  Svalbard (Arctic region, 016°28′E, 78°21′N; depth, 78 m)</t>
  </si>
  <si>
    <t xml:space="preserve">Svalbard</t>
  </si>
  <si>
    <t xml:space="preserve">Pitcher et al. (2011)</t>
  </si>
  <si>
    <t xml:space="preserve">https://doi.org/10.1128/AEM.02758-10</t>
  </si>
  <si>
    <t xml:space="preserve">CP003842.1</t>
  </si>
  <si>
    <t xml:space="preserve">Nitrosopumilus maritimus SCM1</t>
  </si>
  <si>
    <t xml:space="preserve">SCM1</t>
  </si>
  <si>
    <t xml:space="preserve">GCF_000018465.1</t>
  </si>
  <si>
    <t xml:space="preserve">RS_GCF_000018465.1</t>
  </si>
  <si>
    <t xml:space="preserve">a tropical marine fish tank at the Seattle Aquarium in Seattle</t>
  </si>
  <si>
    <t xml:space="preserve">Washington</t>
  </si>
  <si>
    <t xml:space="preserve">JQ346765.1</t>
  </si>
  <si>
    <t xml:space="preserve">EU239959.1</t>
  </si>
  <si>
    <t xml:space="preserve">CP000866.1</t>
  </si>
  <si>
    <t xml:space="preserve">Ca. Nitrosopumilus sp. NAOA6</t>
  </si>
  <si>
    <t xml:space="preserve">NAOA6</t>
  </si>
  <si>
    <t xml:space="preserve">isolated from surface water samples from the Benguela upwelling system at station GeoB 12806 (NAOA6; 5 m; 13.6 °C; 25°S, 14°23′E) taken during R/V Meteor cruise M76/1 in 2008 (Zabel et al., 2008)</t>
  </si>
  <si>
    <t xml:space="preserve">KT380502.1</t>
  </si>
  <si>
    <t xml:space="preserve">KT380500.1</t>
  </si>
  <si>
    <t xml:space="preserve">Nitrosopumilus piranensis D3C</t>
  </si>
  <si>
    <t xml:space="preserve">D3C</t>
  </si>
  <si>
    <t xml:space="preserve">GCF_000875775.1</t>
  </si>
  <si>
    <t xml:space="preserve">RS_GCF_000875775.1</t>
  </si>
  <si>
    <t xml:space="preserve">Northern Adriatic Sea surface water (Bayer et al., 2016 ISME) - December 2011</t>
  </si>
  <si>
    <t xml:space="preserve">NR_177396.1</t>
  </si>
  <si>
    <t xml:space="preserve">CP010868.1</t>
  </si>
  <si>
    <t xml:space="preserve">Nitrosopumilus sp. SJ</t>
  </si>
  <si>
    <t xml:space="preserve">SJ</t>
  </si>
  <si>
    <t xml:space="preserve">650 m</t>
  </si>
  <si>
    <t xml:space="preserve">Marine sediments (ca. 100 g of sediment from a depth of 0 to 1 cm) collected from Donghae (128°35′E, 38°20′N; depth, 650 m)</t>
  </si>
  <si>
    <t xml:space="preserve">South Korea</t>
  </si>
  <si>
    <t xml:space="preserve">Nitrosarchaeum koreense MY1</t>
  </si>
  <si>
    <t xml:space="preserve">MY1T</t>
  </si>
  <si>
    <t xml:space="preserve">GCF_000220175.1</t>
  </si>
  <si>
    <t xml:space="preserve">RS_GCF_000220175.1</t>
  </si>
  <si>
    <t xml:space="preserve">Soil of an experimental agricultural station at the Chungbuk Natinonal University (Jung MY et al. 2011 AEM)</t>
  </si>
  <si>
    <t xml:space="preserve">Jung et al. (2011)</t>
  </si>
  <si>
    <t xml:space="preserve">https://doi.org/10.1128/AEM.05787-11</t>
  </si>
  <si>
    <t xml:space="preserve">NR_177299.1</t>
  </si>
  <si>
    <t xml:space="preserve">HQ331117.1</t>
  </si>
  <si>
    <t xml:space="preserve">Ca. Nitrosarchaeum limnia SFB1</t>
  </si>
  <si>
    <t xml:space="preserve">SFB1</t>
  </si>
  <si>
    <t xml:space="preserve">GCA_000204585.1</t>
  </si>
  <si>
    <t xml:space="preserve">GB_GCA_000204585.1</t>
  </si>
  <si>
    <t xml:space="preserve">5 m (read from https://www.ncei.noaa.gov/maps/bathymetry/)</t>
  </si>
  <si>
    <t xml:space="preserve">sediments (0-5 cm) collected in northern part of the San Francisco Bay estuary (site SU001S; 38°5′55.75″N, 122° 2′47.40″W) in 2006 (Mosier and Francis 2008 Envi. Microbio.)</t>
  </si>
  <si>
    <t xml:space="preserve">San Francisco Bay</t>
  </si>
  <si>
    <t xml:space="preserve">CM001158.1</t>
  </si>
  <si>
    <t xml:space="preserve">Cenarchaeum symbiosum A</t>
  </si>
  <si>
    <t xml:space="preserve">A</t>
  </si>
  <si>
    <t xml:space="preserve">GCA_000200715.1</t>
  </si>
  <si>
    <t xml:space="preserve">GB_GCA_000200715.1</t>
  </si>
  <si>
    <t xml:space="preserve">High Cren/No Cren'</t>
  </si>
  <si>
    <t xml:space="preserve">10 to 20 m</t>
  </si>
  <si>
    <t xml:space="preserve">Sponges were collected at depths of 10-20 m by SCUBA divingat two different sites located just offshore of Santa Barbara,CA. (Preston, Molinski, and DeLong (1996) PNAS)</t>
  </si>
  <si>
    <t xml:space="preserve">Santa Barbara Bay, CA</t>
  </si>
  <si>
    <t xml:space="preserve">Sinninghe Damste et al. (2002)</t>
  </si>
  <si>
    <t xml:space="preserve">10.1194/jlr.m200148-jlr200</t>
  </si>
  <si>
    <t xml:space="preserve">DP000238.1</t>
  </si>
  <si>
    <t xml:space="preserve">Nitropelagicus brevis CN25</t>
  </si>
  <si>
    <t xml:space="preserve">CN25</t>
  </si>
  <si>
    <t xml:space="preserve">GCF_000812185.1</t>
  </si>
  <si>
    <t xml:space="preserve">RS_GCF_000812185.1</t>
  </si>
  <si>
    <t xml:space="preserve">CP007026.1</t>
  </si>
  <si>
    <t xml:space="preserve">Ca. Nitrosotenuis uzonensis N4</t>
  </si>
  <si>
    <t xml:space="preserve">N4</t>
  </si>
  <si>
    <t xml:space="preserve">GCF_000723185.1</t>
  </si>
  <si>
    <t xml:space="preserve">RS_GCF_000723185.1</t>
  </si>
  <si>
    <t xml:space="preserve">thermal spring</t>
  </si>
  <si>
    <t xml:space="preserve">Kamchatka</t>
  </si>
  <si>
    <t xml:space="preserve">Bale et al. (2019)</t>
  </si>
  <si>
    <t xml:space="preserve">https://doi.org/10.1128/AEM.01332-19</t>
  </si>
  <si>
    <t xml:space="preserve">Ca. Nitrosotenuis chungbukensis MY2</t>
  </si>
  <si>
    <t xml:space="preserve">MY2</t>
  </si>
  <si>
    <t xml:space="preserve">GCF_030518575.1</t>
  </si>
  <si>
    <t xml:space="preserve">RS_GCF_030518575.1</t>
  </si>
  <si>
    <t xml:space="preserve">a deep oligotrophic soil horizon</t>
  </si>
  <si>
    <t xml:space="preserve">Jung et al. (2014)</t>
  </si>
  <si>
    <t xml:space="preserve">https://doi.org/10.1128/AEM.03730-13</t>
  </si>
  <si>
    <t xml:space="preserve">Ca. Nitrososphaera gargensis Ga9.2</t>
  </si>
  <si>
    <t xml:space="preserve">Ga9.2</t>
  </si>
  <si>
    <t xml:space="preserve">GCF_000303155.1</t>
  </si>
  <si>
    <t xml:space="preserve">RS_GCF_000303155.1</t>
  </si>
  <si>
    <t xml:space="preserve">Group 1.1b</t>
  </si>
  <si>
    <t xml:space="preserve">Group 1.1b-Nitrososphaera</t>
  </si>
  <si>
    <t xml:space="preserve">Hot spring-like/High Cren'</t>
  </si>
  <si>
    <t xml:space="preserve">microbial mat sample from the Garga hot spring in the Buryat Republic (Hatzenpichler et al., 2008)</t>
  </si>
  <si>
    <t xml:space="preserve">Russia</t>
  </si>
  <si>
    <t xml:space="preserve">CP002408.1</t>
  </si>
  <si>
    <t xml:space="preserve">Nitrososphaera viennensis EN76</t>
  </si>
  <si>
    <t xml:space="preserve">EN76</t>
  </si>
  <si>
    <t xml:space="preserve">GCF_000698785.1</t>
  </si>
  <si>
    <t xml:space="preserve">RS_GCF_000698785.1</t>
  </si>
  <si>
    <t xml:space="preserve">isolated from garden soil in Vienna (Tourna M et al. 2011. PNAS)</t>
  </si>
  <si>
    <t xml:space="preserve">Austria</t>
  </si>
  <si>
    <t xml:space="preserve">Sinninghe Damste et al. (2012)</t>
  </si>
  <si>
    <t xml:space="preserve">https://doi.org/10.1128/AEM.01681-12</t>
  </si>
  <si>
    <t xml:space="preserve">FR773157.1</t>
  </si>
  <si>
    <t xml:space="preserve">FR773159.1</t>
  </si>
  <si>
    <t xml:space="preserve">CP007536.1</t>
  </si>
  <si>
    <t xml:space="preserve">Ca. Nitrosocosmicus oleophilus MY3</t>
  </si>
  <si>
    <t xml:space="preserve">MY3</t>
  </si>
  <si>
    <t xml:space="preserve">GCF_000802205.1</t>
  </si>
  <si>
    <t xml:space="preserve">RS_GCF_000802205.1</t>
  </si>
  <si>
    <t xml:space="preserve">surface sediment rich in decaying forest-leaf litter and contaminated by hydrocarbons characteristic of coal-tar waste</t>
  </si>
  <si>
    <t xml:space="preserve">Jung et al. (2016)</t>
  </si>
  <si>
    <t xml:space="preserve">https://doi.org/10.1111/1758-2229.12477</t>
  </si>
  <si>
    <t xml:space="preserve">CP012850.1</t>
  </si>
  <si>
    <t xml:space="preserve">Metallosphaera sedula DSM 5348</t>
  </si>
  <si>
    <t xml:space="preserve">DSM 5348</t>
  </si>
  <si>
    <t xml:space="preserve">GCA_000016605.1</t>
  </si>
  <si>
    <t xml:space="preserve">GB_GCA_000016605.1</t>
  </si>
  <si>
    <t xml:space="preserve">Sulfolobaceae</t>
  </si>
  <si>
    <t xml:space="preserve">No Cren/Cren'</t>
  </si>
  <si>
    <t xml:space="preserve">hot water pond</t>
  </si>
  <si>
    <t xml:space="preserve">Naples, Pisciarelli Solfatara, Italy</t>
  </si>
  <si>
    <t xml:space="preserve">Pearson et al. (2008)</t>
  </si>
  <si>
    <t xml:space="preserve">https://doi.org/10.1128/AEM.02450-07</t>
  </si>
  <si>
    <t xml:space="preserve">NR_074387.1</t>
  </si>
  <si>
    <t xml:space="preserve">CP000682.1</t>
  </si>
  <si>
    <t xml:space="preserve">Sulfolobus solfataricus P2</t>
  </si>
  <si>
    <t xml:space="preserve">P2</t>
  </si>
  <si>
    <t xml:space="preserve">GCF_000007005.1</t>
  </si>
  <si>
    <t xml:space="preserve">RS_GCF_000007005.1</t>
  </si>
  <si>
    <t xml:space="preserve">volcanic hot spring</t>
  </si>
  <si>
    <t xml:space="preserve">Campi flegrei, Pisciarelli near Agnano, Italy</t>
  </si>
  <si>
    <t xml:space="preserve">AE006641.1</t>
  </si>
  <si>
    <t xml:space="preserve">Desulfurococcus amylolyticus DSM 16532</t>
  </si>
  <si>
    <t xml:space="preserve">DSM 16532</t>
  </si>
  <si>
    <t xml:space="preserve">GCF_000231015.2</t>
  </si>
  <si>
    <t xml:space="preserve">RS_GCF_000231015.2</t>
  </si>
  <si>
    <t xml:space="preserve">Desulfurococcaceae</t>
  </si>
  <si>
    <t xml:space="preserve">freshwater hot spring</t>
  </si>
  <si>
    <t xml:space="preserve">Kamchatka Peninsula, Uzon caldera</t>
  </si>
  <si>
    <t xml:space="preserve">NR_042810.1</t>
  </si>
  <si>
    <t xml:space="preserve">NC_018001.1</t>
  </si>
  <si>
    <t xml:space="preserve">Desulfurococcus amylolyticus Z-533</t>
  </si>
  <si>
    <t xml:space="preserve">Z-533 (or DSM 3822)</t>
  </si>
  <si>
    <t xml:space="preserve">GCF_000513855.1</t>
  </si>
  <si>
    <t xml:space="preserve">RS_GCF_000513855.1</t>
  </si>
  <si>
    <t xml:space="preserve">hot spring</t>
  </si>
  <si>
    <t xml:space="preserve">NR_114559.1</t>
  </si>
  <si>
    <t xml:space="preserve">Acidilobus saccharovorans 345-15</t>
  </si>
  <si>
    <t xml:space="preserve">345-15</t>
  </si>
  <si>
    <t xml:space="preserve">GCF_000144915.1</t>
  </si>
  <si>
    <t xml:space="preserve">RS_GCF_000144915.1</t>
  </si>
  <si>
    <t xml:space="preserve">Acidilobaceae</t>
  </si>
  <si>
    <t xml:space="preserve">mixture of water and mud from an acidic terrestrial hot pool</t>
  </si>
  <si>
    <t xml:space="preserve">NR_102933.1</t>
  </si>
  <si>
    <t xml:space="preserve">CP001742.1</t>
  </si>
  <si>
    <t xml:space="preserve">Thermoproteus uzoniensis Z-605</t>
  </si>
  <si>
    <t xml:space="preserve">DSM 5263; Z-605 (768-20)</t>
  </si>
  <si>
    <t xml:space="preserve">GCF_000193375.1</t>
  </si>
  <si>
    <t xml:space="preserve">RS_GCF_000193375.1</t>
  </si>
  <si>
    <t xml:space="preserve">Thermoproteaceae</t>
  </si>
  <si>
    <t xml:space="preserve">NR_177322.1</t>
  </si>
  <si>
    <t xml:space="preserve">CP002590.1</t>
  </si>
  <si>
    <t xml:space="preserve">Vulcanisaeta moutnovskia 768-28</t>
  </si>
  <si>
    <t xml:space="preserve">768-28</t>
  </si>
  <si>
    <t xml:space="preserve">GCF_000190315.1</t>
  </si>
  <si>
    <t xml:space="preserve">RS_GCF_000190315.1</t>
  </si>
  <si>
    <t xml:space="preserve">CP002529.1</t>
  </si>
  <si>
    <t xml:space="preserve">Picrophulus oshimae</t>
  </si>
  <si>
    <t xml:space="preserve">DSM 9790</t>
  </si>
  <si>
    <t xml:space="preserve">GCF_900176435.1</t>
  </si>
  <si>
    <t xml:space="preserve">RS_GCF_900176435.1</t>
  </si>
  <si>
    <t xml:space="preserve">Picrophilaceae</t>
  </si>
  <si>
    <t xml:space="preserve">Small Cren/No Cren'</t>
  </si>
  <si>
    <t xml:space="preserve">Solfataric field</t>
  </si>
  <si>
    <t xml:space="preserve">Hokkaido</t>
  </si>
  <si>
    <t xml:space="preserve">Feyhl-Buska et al. (2016)</t>
  </si>
  <si>
    <t xml:space="preserve">https://doi.org/10.3389/fmicb.2016.01323</t>
  </si>
  <si>
    <t xml:space="preserve">NR_074187.1</t>
  </si>
  <si>
    <t xml:space="preserve">NC_005877.1</t>
  </si>
  <si>
    <t xml:space="preserve">Ca Nitrososphaera JG1</t>
  </si>
  <si>
    <t xml:space="preserve">JG1</t>
  </si>
  <si>
    <t xml:space="preserve">Strain JG1 was also enriched from a soil sample from a Capsicum annuum cultivation field from the same agricultural station of the Chungbuk National University (Kim JG et al. 2012 AEM)</t>
  </si>
  <si>
    <t xml:space="preserve">JF748724.1</t>
  </si>
  <si>
    <t xml:space="preserve">JF748723.1</t>
  </si>
  <si>
    <t xml:space="preserve">Ca. Nitrosocaldus yellowstonensis HL72</t>
  </si>
  <si>
    <t xml:space="preserve">HL72</t>
  </si>
  <si>
    <t xml:space="preserve">HWCG-III</t>
  </si>
  <si>
    <t xml:space="preserve">HWCG-III-Nitrosocaldus</t>
  </si>
  <si>
    <t xml:space="preserve">hotspring, Yellowstone National Park, USA (de la Torre et al.,2008)</t>
  </si>
  <si>
    <t xml:space="preserve">USA</t>
  </si>
  <si>
    <t xml:space="preserve">Acidilobus aceticus 1904</t>
  </si>
  <si>
    <t xml:space="preserve">continental hot vents</t>
  </si>
  <si>
    <t xml:space="preserve">NR_041774.1</t>
  </si>
  <si>
    <t xml:space="preserve">Acidilobus sulfurireducens</t>
  </si>
  <si>
    <t xml:space="preserve">7A</t>
  </si>
  <si>
    <t xml:space="preserve"> geothermal spring in Yellowstone National Park</t>
  </si>
  <si>
    <t xml:space="preserve">Wyoming, USA</t>
  </si>
  <si>
    <t xml:space="preserve">Boyd et al. (2011)</t>
  </si>
  <si>
    <t xml:space="preserve">10.1007/s00792-010-0339-y</t>
  </si>
  <si>
    <t xml:space="preserve">sampleName</t>
  </si>
  <si>
    <t xml:space="preserve">phyloT_order</t>
  </si>
  <si>
    <t xml:space="preserve">GTDB_phylum</t>
  </si>
  <si>
    <t xml:space="preserve">GTDB_family</t>
  </si>
  <si>
    <t xml:space="preserve">GTDB_genus</t>
  </si>
  <si>
    <t xml:space="preserve">GTDB_species</t>
  </si>
  <si>
    <t xml:space="preserve">NCBI_phylum</t>
  </si>
  <si>
    <t xml:space="preserve">NCBI_class</t>
  </si>
  <si>
    <t xml:space="preserve">NCBI_order</t>
  </si>
  <si>
    <t xml:space="preserve">NCBI_genus</t>
  </si>
  <si>
    <t xml:space="preserve">NCBI_species</t>
  </si>
  <si>
    <t xml:space="preserve">organism_broadClass</t>
  </si>
  <si>
    <t xml:space="preserve">organism_genomes_combined_WGS_PGS</t>
  </si>
  <si>
    <t xml:space="preserve">isolate_from</t>
  </si>
  <si>
    <t xml:space="preserve">geographic_location</t>
  </si>
  <si>
    <t xml:space="preserve">sampleID_new</t>
  </si>
  <si>
    <t xml:space="preserve">reported_pH</t>
  </si>
  <si>
    <t xml:space="preserve">reported_oxy_micromolar</t>
  </si>
  <si>
    <t xml:space="preserve">reported_ammonium</t>
  </si>
  <si>
    <t xml:space="preserve">reported_ionicStrength</t>
  </si>
  <si>
    <t xml:space="preserve">reported_AOR_umol_NO2_l_d</t>
  </si>
  <si>
    <t xml:space="preserve">reported_growthPhase_growthRate</t>
  </si>
  <si>
    <t xml:space="preserve">experiment_setup</t>
  </si>
  <si>
    <t xml:space="preserve">Broad Filtration Class</t>
  </si>
  <si>
    <t xml:space="preserve">Lipid Extractions</t>
  </si>
  <si>
    <t xml:space="preserve">Filter pore size</t>
  </si>
  <si>
    <t xml:space="preserve">LCMS_instrumentation</t>
  </si>
  <si>
    <t xml:space="preserve">sum_reported_fractions</t>
  </si>
  <si>
    <t xml:space="preserve">reported_1302</t>
  </si>
  <si>
    <t xml:space="preserve">reported_1300</t>
  </si>
  <si>
    <t xml:space="preserve">reported_1298</t>
  </si>
  <si>
    <t xml:space="preserve">reported_1296</t>
  </si>
  <si>
    <t xml:space="preserve">reported_1292</t>
  </si>
  <si>
    <t xml:space="preserve">reported_1292_iso</t>
  </si>
  <si>
    <t xml:space="preserve">reported_1294</t>
  </si>
  <si>
    <t xml:space="preserve">reported_1290</t>
  </si>
  <si>
    <t xml:space="preserve">reported_1288</t>
  </si>
  <si>
    <t xml:space="preserve">reported_1286</t>
  </si>
  <si>
    <t xml:space="preserve">reported_1292_iso2</t>
  </si>
  <si>
    <t xml:space="preserve">reported_1294_iso</t>
  </si>
  <si>
    <t xml:space="preserve">reported_1290_iso</t>
  </si>
  <si>
    <t xml:space="preserve">reported_1288_iso</t>
  </si>
  <si>
    <t xml:space="preserve">reported_1286_iso</t>
  </si>
  <si>
    <t xml:space="preserve">fGDGT_0</t>
  </si>
  <si>
    <t xml:space="preserve">fGDGT_1</t>
  </si>
  <si>
    <t xml:space="preserve">fGDGT_2</t>
  </si>
  <si>
    <t xml:space="preserve">fGDGT_3</t>
  </si>
  <si>
    <t xml:space="preserve">fGDGT_cren</t>
  </si>
  <si>
    <t xml:space="preserve">fGDGT_cren_prime</t>
  </si>
  <si>
    <t xml:space="preserve">BITindex</t>
  </si>
  <si>
    <t xml:space="preserve">dataType_level0</t>
  </si>
  <si>
    <t xml:space="preserve">dataType_level1</t>
  </si>
  <si>
    <t xml:space="preserve">full_remark</t>
  </si>
  <si>
    <t xml:space="preserve">duplicate_Datasets</t>
  </si>
  <si>
    <t xml:space="preserve">incomplete_GDGT_fractions</t>
  </si>
  <si>
    <t xml:space="preserve">BIT_QC_above05</t>
  </si>
  <si>
    <t xml:space="preserve">gdgt0Cren_QC_above07</t>
  </si>
  <si>
    <t xml:space="preserve">MI_QC_above05</t>
  </si>
  <si>
    <t xml:space="preserve">QC_Indices_check</t>
  </si>
  <si>
    <t xml:space="preserve">detectionLimit_check</t>
  </si>
  <si>
    <t xml:space="preserve">Source2</t>
  </si>
  <si>
    <t xml:space="preserve">firstAuthor_firstName</t>
  </si>
  <si>
    <t xml:space="preserve">Taxonomy data update</t>
  </si>
  <si>
    <t xml:space="preserve">Bale2019_001_Cultures_ThAOA_Ca_Nitrosotenuis uzonesis_P-GDGT_DH_37</t>
  </si>
  <si>
    <t xml:space="preserve">p__Thermoproteota</t>
  </si>
  <si>
    <t xml:space="preserve">g__Nitrosotenuis</t>
  </si>
  <si>
    <t xml:space="preserve">p__Nitrososphaerota</t>
  </si>
  <si>
    <t xml:space="preserve">o__Nitrosopumilales</t>
  </si>
  <si>
    <t xml:space="preserve">Terrestrial thermophile</t>
  </si>
  <si>
    <t xml:space="preserve">sequenced</t>
  </si>
  <si>
    <t xml:space="preserve">RR_culture_001</t>
  </si>
  <si>
    <t xml:space="preserve">Culture-temperature</t>
  </si>
  <si>
    <t xml:space="preserve">IPL-GDGTs</t>
  </si>
  <si>
    <t xml:space="preserve">IPL-GDGT (reported); 2G (Dihexose)</t>
  </si>
  <si>
    <t xml:space="preserve">NP-HPLC-ESI-Ion Trap-MS</t>
  </si>
  <si>
    <t xml:space="preserve">Culture</t>
  </si>
  <si>
    <t xml:space="preserve">Culture - ThAOA</t>
  </si>
  <si>
    <t xml:space="preserve">Bale et al. (2019) AEM</t>
  </si>
  <si>
    <t xml:space="preserve">Data from original source; average abundance from 4 replicates</t>
  </si>
  <si>
    <t xml:space="preserve">No</t>
  </si>
  <si>
    <t xml:space="preserve">Not reported; Assumed no brGDGTs (cultures)</t>
  </si>
  <si>
    <t xml:space="preserve">Yes</t>
  </si>
  <si>
    <t xml:space="preserve">Fail</t>
  </si>
  <si>
    <t xml:space="preserve">Nicole</t>
  </si>
  <si>
    <t xml:space="preserve">GTDB Release 214.1; NCBI (retrieved from February 21, 2024)</t>
  </si>
  <si>
    <t xml:space="preserve">Bale2019_002_Cultures_ThAOA_Ca_Nitrosotenuis uzonesis_P-GDGT_DH_46</t>
  </si>
  <si>
    <t xml:space="preserve">RR_culture_002</t>
  </si>
  <si>
    <t xml:space="preserve">Pass</t>
  </si>
  <si>
    <t xml:space="preserve">Bale2019_003_Cultures_ThAOA_Ca_Nitrosotenuis uzonesis_P-GDGT_DH_50</t>
  </si>
  <si>
    <t xml:space="preserve">RR_culture_003</t>
  </si>
  <si>
    <t xml:space="preserve">Bale2019_004_Cultures_ThAOA_Ca_Nitrosotenuis uzonesis_P-GDGT_HPH_37</t>
  </si>
  <si>
    <t xml:space="preserve">RR_culture_004</t>
  </si>
  <si>
    <t xml:space="preserve">IPL-GDGT (reported); HPH</t>
  </si>
  <si>
    <t xml:space="preserve">Bale2019_005_Cultures_ThAOA_Ca_Nitrosotenuis uzonesis_P-GDGT_HPH_46</t>
  </si>
  <si>
    <t xml:space="preserve">RR_culture_005</t>
  </si>
  <si>
    <t xml:space="preserve">Bale2019_006_Cultures_ThAOA_Ca_Nitrosotenuis uzonesis_P-GDGT_HPH_50</t>
  </si>
  <si>
    <t xml:space="preserve">RR_culture_006</t>
  </si>
  <si>
    <t xml:space="preserve">Bale2019_007_Cultures_ThAOA_Ca_Nitrosotenuis uzonesis_P-GDGT_MH_37</t>
  </si>
  <si>
    <t xml:space="preserve">RR_culture_007</t>
  </si>
  <si>
    <t xml:space="preserve">IPL-GDGT (reported); 1G (Hexose)</t>
  </si>
  <si>
    <t xml:space="preserve">Bale2019_008_Cultures_ThAOA_Ca_Nitrosotenuis uzonesis_P-GDGT_MH_46</t>
  </si>
  <si>
    <t xml:space="preserve">RR_culture_008</t>
  </si>
  <si>
    <t xml:space="preserve">Bale2019_009_Cultures_ThAOA_Ca_Nitrosotenuis uzonesis_P-GDGT_MH_50</t>
  </si>
  <si>
    <t xml:space="preserve">RR_culture_009</t>
  </si>
  <si>
    <t xml:space="preserve">Bale2019_010_Cultures_ThAOA_Ca_Nitrosotenuis uzonesis_P-GDGT_TH1_37</t>
  </si>
  <si>
    <t xml:space="preserve">RR_culture_010</t>
  </si>
  <si>
    <t xml:space="preserve">IPL-GDGT (reported); TH1</t>
  </si>
  <si>
    <t xml:space="preserve">Bale2019_011_Cultures_ThAOA_Ca_Nitrosotenuis uzonesis_P-GDGT_TH1_46</t>
  </si>
  <si>
    <t xml:space="preserve">RR_culture_011</t>
  </si>
  <si>
    <t xml:space="preserve">Bale2019_012_Cultures_ThAOA_Ca_Nitrosotenuis uzonesis_P-GDGT_TH1_50</t>
  </si>
  <si>
    <t xml:space="preserve">RR_culture_012</t>
  </si>
  <si>
    <t xml:space="preserve">Bale2019_013_Cultures_ThAOA_Ca_Nitrosotenuis uzonesis_P-GDGT_TH2_37</t>
  </si>
  <si>
    <t xml:space="preserve">RR_culture_013</t>
  </si>
  <si>
    <t xml:space="preserve">IPL-GDGT (reported); TH2</t>
  </si>
  <si>
    <t xml:space="preserve">Bale2019_014_Cultures_ThAOA_Ca_Nitrosotenuis uzonesis_P-GDGT_TH2_46</t>
  </si>
  <si>
    <t xml:space="preserve">RR_culture_014</t>
  </si>
  <si>
    <t xml:space="preserve">Bale2019_015_Cultures_ThAOA_Ca_Nitrosotenuis uzonesis_P-GDGT_TH2_50</t>
  </si>
  <si>
    <t xml:space="preserve">RR_culture_015</t>
  </si>
  <si>
    <t xml:space="preserve">Bale2019_016_Cultures_ThAOA_Ca_Nitrosotenuis uzonesis_P-GDGT_HPH_37</t>
  </si>
  <si>
    <t xml:space="preserve">RR_culture_016</t>
  </si>
  <si>
    <t xml:space="preserve">Total IPLs (calculated)</t>
  </si>
  <si>
    <t xml:space="preserve">Data from original source; calculated from IPL fractions - assume ND as 0</t>
  </si>
  <si>
    <t xml:space="preserve">Bale2019_017_Cultures_ThAOA_Ca_Nitrosotenuis uzonesis_P-GDGT_HPH_46</t>
  </si>
  <si>
    <t xml:space="preserve">RR_culture_017</t>
  </si>
  <si>
    <t xml:space="preserve">Bale2019_018_Cultures_ThAOA_Ca_Nitrosotenuis uzonesis_P-GDGT_HPH_50</t>
  </si>
  <si>
    <t xml:space="preserve">RR_culture_018</t>
  </si>
  <si>
    <t xml:space="preserve">Bale2019_019_Cultures_ThAOA_Ca_Nitrosotenuis uzonesis_C-GDGT_37</t>
  </si>
  <si>
    <t xml:space="preserve">RR_culture_019</t>
  </si>
  <si>
    <t xml:space="preserve">Total GDGTs</t>
  </si>
  <si>
    <t xml:space="preserve">Total GDGTs (Hydrolyzed B-D extracts; CLs + cleaved IPLs)</t>
  </si>
  <si>
    <t xml:space="preserve">NP-HPLC-APCI-Single Quad-MS</t>
  </si>
  <si>
    <r>
      <rPr>
        <sz val="11"/>
        <color rgb="FF000000"/>
        <rFont val="Aptos Narrow"/>
        <family val="2"/>
        <charset val="1"/>
      </rPr>
      <t xml:space="preserve">Bale et al. (2019)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</si>
  <si>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Bale2019_020_Cultures_ThAOA_Ca_Nitrosotenuis uzonesis_C-GDGT_46</t>
  </si>
  <si>
    <t xml:space="preserve">RR_culture_020</t>
  </si>
  <si>
    <t xml:space="preserve">Bale2019_021_Cultures_ThAOA_Ca_Nitrosotenuis uzonesis_C-GDGT_50</t>
  </si>
  <si>
    <t xml:space="preserve">RR_culture_021</t>
  </si>
  <si>
    <t xml:space="preserve">Elling2015_Culture_NA0A2_18</t>
  </si>
  <si>
    <t xml:space="preserve">g__Nitrosopumilus</t>
  </si>
  <si>
    <t xml:space="preserve">Marine mesophile</t>
  </si>
  <si>
    <t xml:space="preserve">not_sequenced</t>
  </si>
  <si>
    <t xml:space="preserve">South Atlantic surface water</t>
  </si>
  <si>
    <t xml:space="preserve">South Atlantic; Benguela upwelling system</t>
  </si>
  <si>
    <t xml:space="preserve">RR_culture_022</t>
  </si>
  <si>
    <t xml:space="preserve">Total GDGTs; Acid hydrolyzed TLEs (CLs + cleaved IPLs)</t>
  </si>
  <si>
    <t xml:space="preserve">NP-UHPLC-APCI-qTOF-MS/MS</t>
  </si>
  <si>
    <t xml:space="preserve">Culture - AOA</t>
  </si>
  <si>
    <r>
      <rPr>
        <sz val="11"/>
        <color rgb="FF000000"/>
        <rFont val="Aptos Narrow"/>
        <family val="2"/>
        <charset val="1"/>
      </rPr>
      <t xml:space="preserve">Elling et al. (2015)</t>
    </r>
    <r>
      <rPr>
        <i val="true"/>
        <sz val="11"/>
        <color rgb="FF000000"/>
        <rFont val="Aptos Narrow"/>
        <family val="2"/>
        <charset val="1"/>
      </rPr>
      <t xml:space="preserve"> GCA</t>
    </r>
  </si>
  <si>
    <t xml:space="preserve">Not reported; Assumed no brGDGTs (Cultures)</t>
  </si>
  <si>
    <t xml:space="preserve">Felix</t>
  </si>
  <si>
    <t xml:space="preserve">Elling2015_Culture_NA0A2_22</t>
  </si>
  <si>
    <t xml:space="preserve">RR_culture_023</t>
  </si>
  <si>
    <t xml:space="preserve">Elling2015_Culture_NA0A2_28</t>
  </si>
  <si>
    <t xml:space="preserve">RR_culture_024</t>
  </si>
  <si>
    <t xml:space="preserve">Elling2015_Culture_NA0A2_35</t>
  </si>
  <si>
    <t xml:space="preserve">RR_culture_025</t>
  </si>
  <si>
    <t xml:space="preserve">Elling2015_Culture_NA0A6_18</t>
  </si>
  <si>
    <t xml:space="preserve">RR_culture_026</t>
  </si>
  <si>
    <t xml:space="preserve">Elling2015_Culture_NA0A6_22</t>
  </si>
  <si>
    <t xml:space="preserve">RR_culture_027</t>
  </si>
  <si>
    <t xml:space="preserve">Elling2015_Culture_NA0A6_28</t>
  </si>
  <si>
    <t xml:space="preserve">RR_culture_028</t>
  </si>
  <si>
    <t xml:space="preserve">Elling2015_Culture_SCM1_22</t>
  </si>
  <si>
    <t xml:space="preserve">s__Nitrosopumilus maritimus</t>
  </si>
  <si>
    <t xml:space="preserve">RR_culture_029</t>
  </si>
  <si>
    <t xml:space="preserve">Elling2015_Culture_SCM1_25</t>
  </si>
  <si>
    <t xml:space="preserve">RR_culture_030</t>
  </si>
  <si>
    <t xml:space="preserve">Elling2015_Culture_SCM1_28</t>
  </si>
  <si>
    <t xml:space="preserve">RR_culture_031</t>
  </si>
  <si>
    <t xml:space="preserve">Elling2017_culture_marineAOA_1G_P-GDGT_Nitrosopumilus adriaticus NF5</t>
  </si>
  <si>
    <t xml:space="preserve">s__Nitrosopumilus adriaticus</t>
  </si>
  <si>
    <t xml:space="preserve">coastal surface water</t>
  </si>
  <si>
    <t xml:space="preserve">North Adriatic Sea</t>
  </si>
  <si>
    <t xml:space="preserve">RR_culture_032</t>
  </si>
  <si>
    <t xml:space="preserve">NP-UHPLC-ESI-qTOF-MS/MS</t>
  </si>
  <si>
    <r>
      <rPr>
        <sz val="11"/>
        <color rgb="FF000000"/>
        <rFont val="Aptos Narrow"/>
        <family val="2"/>
        <charset val="1"/>
      </rPr>
      <t xml:space="preserve">Elling et al. (2017)</t>
    </r>
    <r>
      <rPr>
        <i val="true"/>
        <sz val="11"/>
        <color rgb="FF000000"/>
        <rFont val="Aptos Narrow"/>
        <family val="2"/>
        <charset val="1"/>
      </rPr>
      <t xml:space="preserve"> Environmnental Microbiology</t>
    </r>
  </si>
  <si>
    <t xml:space="preserve">Data from original source; assumed GDGT-5 as Cren</t>
  </si>
  <si>
    <t xml:space="preserve">Elling2017_culture_marineAOA_1G_P-GDGT_Nitrosopumilus maritimus SCM1</t>
  </si>
  <si>
    <t xml:space="preserve">RR_culture_033</t>
  </si>
  <si>
    <t xml:space="preserve">Elling2017_culture_marineAOA_1G_P-GDGT_Nitrosopumilus piranensis D3C</t>
  </si>
  <si>
    <t xml:space="preserve">s_Nirosopumilus piranensis</t>
  </si>
  <si>
    <t xml:space="preserve">RR_culture_034</t>
  </si>
  <si>
    <t xml:space="preserve">Elling2017_culture_marineAOA_1G_P-GDGT_Strain NAOA2</t>
  </si>
  <si>
    <t xml:space="preserve">RR_culture_035</t>
  </si>
  <si>
    <t xml:space="preserve">Elling2017_culture_marineAOA_1G_P-GDGT_Strain NAOA6</t>
  </si>
  <si>
    <t xml:space="preserve">RR_culture_036</t>
  </si>
  <si>
    <t xml:space="preserve">Elling2017_culture_marineAOA_2G_P-GDGT_Nitrosopumilus adriaticus NF5</t>
  </si>
  <si>
    <t xml:space="preserve">RR_culture_037</t>
  </si>
  <si>
    <t xml:space="preserve">Elling2017_culture_marineAOA_2G_P-GDGT_Nitrosopumilus maritimus SCM1</t>
  </si>
  <si>
    <t xml:space="preserve">RR_culture_038</t>
  </si>
  <si>
    <t xml:space="preserve">Elling2017_culture_marineAOA_2G_P-GDGT_Nitrosopumilus piranensis D3C</t>
  </si>
  <si>
    <t xml:space="preserve">RR_culture_039</t>
  </si>
  <si>
    <t xml:space="preserve">Elling2017_culture_marineAOA_2G_P-GDGT_Strain NAOA2</t>
  </si>
  <si>
    <t xml:space="preserve">RR_culture_040</t>
  </si>
  <si>
    <t xml:space="preserve">Elling2017_culture_marineAOA_2G_P-GDGT_Strain NAOA6</t>
  </si>
  <si>
    <t xml:space="preserve">RR_culture_041</t>
  </si>
  <si>
    <t xml:space="preserve">Elling2017_culture_ThAOA_1G_P-GDGT_Nitrosocaldus yellowstonii</t>
  </si>
  <si>
    <t xml:space="preserve">f__Nitrosocaldaceae</t>
  </si>
  <si>
    <t xml:space="preserve">g__Nitrosocaldus</t>
  </si>
  <si>
    <t xml:space="preserve">o__Ca. Nitrosocaldales</t>
  </si>
  <si>
    <t xml:space="preserve">g__Ca. Nitrosocaldus</t>
  </si>
  <si>
    <t xml:space="preserve">RR_culture_042</t>
  </si>
  <si>
    <t xml:space="preserve">Elling2017_culture_ThAOA_1G_P-GDGT_Nitrososphaera gargensis Ga9.2_46degC_pH7.8_stationaryPhase</t>
  </si>
  <si>
    <t xml:space="preserve">g__Nitrososphaera</t>
  </si>
  <si>
    <t xml:space="preserve">RR_culture_043</t>
  </si>
  <si>
    <t xml:space="preserve">Stationary Phase</t>
  </si>
  <si>
    <t xml:space="preserve">Elling2017_culture_ThAOA_2G_P-GDGT_Nitrososphaera gargensis  Ga9.2_46degC_pH7.8_stationaryPhase</t>
  </si>
  <si>
    <t xml:space="preserve">RR_culture_044</t>
  </si>
  <si>
    <t xml:space="preserve">Elling2017_culture_marineAOA_total_IPLs_Nitrosopumilus adriaticus NF5</t>
  </si>
  <si>
    <t xml:space="preserve">RR_culture_045</t>
  </si>
  <si>
    <t xml:space="preserve">Data from original source; assumed GDGT-5 as Cren - calculated from all IPL fractions</t>
  </si>
  <si>
    <t xml:space="preserve">Elling2017_culture_marineAOA_total_IPLs_Nitrosopumilus maritimus SCM1</t>
  </si>
  <si>
    <t xml:space="preserve">RR_culture_046</t>
  </si>
  <si>
    <t xml:space="preserve">Elling2017_culture_marineAOA_total_IPLs_Nitrosopumilus piranensis D3C</t>
  </si>
  <si>
    <t xml:space="preserve">RR_culture_047</t>
  </si>
  <si>
    <t xml:space="preserve">Elling2017_culture_marineAOA_total_IPLs_Strain NAOA2</t>
  </si>
  <si>
    <t xml:space="preserve">RR_culture_048</t>
  </si>
  <si>
    <t xml:space="preserve">Elling2017_culture_marineAOA_total_IPLs_Strain NAOA6</t>
  </si>
  <si>
    <t xml:space="preserve">RR_culture_049</t>
  </si>
  <si>
    <t xml:space="preserve">Elling2017_culture_ThAOA_total_IPLs_Nitrososphaera gargensis Ga9.2_46degC_pH7.8_stationaryPhase</t>
  </si>
  <si>
    <t xml:space="preserve">RR_culture_050</t>
  </si>
  <si>
    <t xml:space="preserve">Elling2017_culture_marineAOA_totalGDGTs_Nitrosopumilus adriaticus</t>
  </si>
  <si>
    <t xml:space="preserve">RR_culture_051</t>
  </si>
  <si>
    <t xml:space="preserve">Total GDGTs (Hydrolysed TLEs)</t>
  </si>
  <si>
    <t xml:space="preserve">Elling2017_culture_marineAOA_totalGDGTs_Nitrosopumilus maritimus</t>
  </si>
  <si>
    <t xml:space="preserve">RR_culture_052</t>
  </si>
  <si>
    <t xml:space="preserve">Elling2017_culture_marineAOA_totalGDGTs_Nitrosopumilus piranensis D3C</t>
  </si>
  <si>
    <t xml:space="preserve">RR_culture_053</t>
  </si>
  <si>
    <t xml:space="preserve">Elling2017_culture_marineAOA_totalGDGTs_Strain NAOA2</t>
  </si>
  <si>
    <t xml:space="preserve">RR_culture_054</t>
  </si>
  <si>
    <t xml:space="preserve">Elling2017_culture_marineAOA_totalGDGTs_Strain NAOA6</t>
  </si>
  <si>
    <t xml:space="preserve">Candidatus Nitrosopumilus sp. NAOA6</t>
  </si>
  <si>
    <t xml:space="preserve">RR_culture_055</t>
  </si>
  <si>
    <t xml:space="preserve">Elling2017_culture_ThAOA_totalGDGTs_Nitrosocaldus yellowstonii</t>
  </si>
  <si>
    <t xml:space="preserve">RR_culture_056</t>
  </si>
  <si>
    <t xml:space="preserve">Elling2017_culture_ThAOA_totalGDGTs_Nitrososphaera gargensis Ga9.2_35degC_pH7.8_stationaryPhase</t>
  </si>
  <si>
    <t xml:space="preserve">RR_culture_057</t>
  </si>
  <si>
    <t xml:space="preserve">Elling2017_culture_ThAOA_totalGDGTs_Nitrososphaera gargensis Ga9.2_46degC_pH7.8_stationaryPhase</t>
  </si>
  <si>
    <t xml:space="preserve">RR_culture_058</t>
  </si>
  <si>
    <t xml:space="preserve">Pearson2008_026_Pure Cultures-Acidilobus aceticus 1904_T82_pH3.5</t>
  </si>
  <si>
    <t xml:space="preserve">g__Acidilobus</t>
  </si>
  <si>
    <t xml:space="preserve">s__Acidolobus aceticus</t>
  </si>
  <si>
    <t xml:space="preserve">o__Acidilobales</t>
  </si>
  <si>
    <t xml:space="preserve">Terrestrial thermoacidophile</t>
  </si>
  <si>
    <t xml:space="preserve">acidic hot spring</t>
  </si>
  <si>
    <t xml:space="preserve">Katchatka</t>
  </si>
  <si>
    <t xml:space="preserve">RR_culture_059</t>
  </si>
  <si>
    <t xml:space="preserve">Culture - Hot spring</t>
  </si>
  <si>
    <r>
      <rPr>
        <sz val="11"/>
        <color rgb="FF000000"/>
        <rFont val="Aptos Narrow"/>
        <family val="2"/>
        <charset val="1"/>
      </rPr>
      <t xml:space="preserve">Pearson et al. (2008)</t>
    </r>
    <r>
      <rPr>
        <i val="true"/>
        <sz val="11"/>
        <color rgb="FF000000"/>
        <rFont val="Aptos Narrow"/>
        <family val="2"/>
        <charset val="1"/>
      </rPr>
      <t xml:space="preserve"> Applied and Environmental Microbiology</t>
    </r>
  </si>
  <si>
    <t xml:space="preserve">Not reported; assumed low (discussed in text)</t>
  </si>
  <si>
    <t xml:space="preserve">Ann</t>
  </si>
  <si>
    <t xml:space="preserve">Pearson2008_027_Pure Cultures-Acidilobus saccharovorans 345-15_T82_pH3.5</t>
  </si>
  <si>
    <t xml:space="preserve">s_Acidilobus saccharovorans</t>
  </si>
  <si>
    <t xml:space="preserve">Katchatka, Orange Thermal Field</t>
  </si>
  <si>
    <t xml:space="preserve">RR_culture_060</t>
  </si>
  <si>
    <t xml:space="preserve">Pearson2008_028_Pure Cultures-Metallosphaera sedula DSM 5348_T75_[H4.5</t>
  </si>
  <si>
    <t xml:space="preserve">g__Metallosphaera</t>
  </si>
  <si>
    <t xml:space="preserve">RR_culture_061</t>
  </si>
  <si>
    <t xml:space="preserve">Pearson2008_029_Pure Cultures-Sulfolobus solfataricus P2_T85_pH4.5</t>
  </si>
  <si>
    <t xml:space="preserve">g__Saccharolobus</t>
  </si>
  <si>
    <t xml:space="preserve">RR_culture_062</t>
  </si>
  <si>
    <t xml:space="preserve">Pearson2008_030_Pure Cultures-Vulcanisaeta moutnovskia 768-28_T85_pH4.5</t>
  </si>
  <si>
    <t xml:space="preserve">f__Thermocladiaceae</t>
  </si>
  <si>
    <t xml:space="preserve">g__Vulcanisaeta</t>
  </si>
  <si>
    <t xml:space="preserve">Terrestrial hyperthermophilic</t>
  </si>
  <si>
    <t xml:space="preserve">RR_culture_063</t>
  </si>
  <si>
    <t xml:space="preserve">Pearson2008_034_Pure Cultures-Thermoproteus uzoniensis Z-605_T85_5.5</t>
  </si>
  <si>
    <t xml:space="preserve">g__Thermoproteus</t>
  </si>
  <si>
    <t xml:space="preserve">RR_culture_064</t>
  </si>
  <si>
    <t xml:space="preserve">Pearson2008_032_Pure Cultures-Desulfurococcus fermentans Z-1312_T85_pH6.0</t>
  </si>
  <si>
    <t xml:space="preserve">g__Desulfurococcus</t>
  </si>
  <si>
    <t xml:space="preserve">o__Desulfurococcales</t>
  </si>
  <si>
    <t xml:space="preserve">RR_culture_065</t>
  </si>
  <si>
    <t xml:space="preserve">Pearson2008_033_Pure Cultures-Desulfurococcus amylolyticus Z-533_T85_6.5</t>
  </si>
  <si>
    <t xml:space="preserve">RR_culture_066</t>
  </si>
  <si>
    <t xml:space="preserve">Pitcher2010_001_ThAOA cultures-Ca. Nitrososphaera gargensis-Ga9.2_46a</t>
  </si>
  <si>
    <t xml:space="preserve">RR_culture_067</t>
  </si>
  <si>
    <r>
      <rPr>
        <sz val="11"/>
        <color rgb="FF000000"/>
        <rFont val="Aptos Narrow"/>
        <family val="2"/>
        <charset val="1"/>
      </rPr>
      <t xml:space="preserve">Pitcher et al. (2010) </t>
    </r>
    <r>
      <rPr>
        <i val="true"/>
        <sz val="11"/>
        <color rgb="FF000000"/>
        <rFont val="Aptos Narrow"/>
        <family val="2"/>
        <charset val="1"/>
      </rPr>
      <t xml:space="preserve">ISME</t>
    </r>
  </si>
  <si>
    <t xml:space="preserve">Not reported</t>
  </si>
  <si>
    <t xml:space="preserve">Pitcher et al. (2010)</t>
  </si>
  <si>
    <t xml:space="preserve">Angela</t>
  </si>
  <si>
    <t xml:space="preserve">https://doi.org/10.1038/ismej.2009.138</t>
  </si>
  <si>
    <t xml:space="preserve">Pitcher2010_002_ThAOA cultures-Ca. Nitrososphaera gargensis-Ga9.2_42</t>
  </si>
  <si>
    <t xml:space="preserve">RR_culture_068</t>
  </si>
  <si>
    <t xml:space="preserve">Pitcher2010_003_ThAOA cultures-Ca. Nitrososphaera gargensis-Ga9.2_50</t>
  </si>
  <si>
    <t xml:space="preserve">RR_culture_069</t>
  </si>
  <si>
    <t xml:space="preserve">Pitcher2010_004_ThAOA cultures-Ca. Nitrososphaera gargensis-Ga9.2_46</t>
  </si>
  <si>
    <t xml:space="preserve">RR_culture_070</t>
  </si>
  <si>
    <t xml:space="preserve">Qin2015_001_Nitrosopumilus maritimus SCM1_Culture_T15</t>
  </si>
  <si>
    <t xml:space="preserve">RR_culture_071</t>
  </si>
  <si>
    <t xml:space="preserve">NP-HPLC-APCI-Ion Trap-MS</t>
  </si>
  <si>
    <r>
      <rPr>
        <sz val="11"/>
        <color rgb="FF000000"/>
        <rFont val="Aptos Narrow"/>
        <family val="2"/>
        <charset val="1"/>
      </rPr>
      <t xml:space="preserve">Qin et al. (2015) </t>
    </r>
    <r>
      <rPr>
        <i val="true"/>
        <sz val="11"/>
        <color rgb="FF000000"/>
        <rFont val="Aptos Narrow"/>
        <family val="2"/>
        <charset val="1"/>
      </rPr>
      <t xml:space="preserve">PNAS</t>
    </r>
  </si>
  <si>
    <t xml:space="preserve">Wei</t>
  </si>
  <si>
    <t xml:space="preserve">Qin2015_002_Nitrosopumilus maritimus SCM1_Culture_T20</t>
  </si>
  <si>
    <t xml:space="preserve">RR_culture_072</t>
  </si>
  <si>
    <t xml:space="preserve">Qin2015_003_Nitrosopumilus maritimus SCM1_Culture_T25</t>
  </si>
  <si>
    <t xml:space="preserve">RR_culture_073</t>
  </si>
  <si>
    <t xml:space="preserve">Qin2015_004_Nitrosopumilus maritimus SCM1_Culture_T30</t>
  </si>
  <si>
    <t xml:space="preserve">RR_culture_074</t>
  </si>
  <si>
    <t xml:space="preserve">Qin2015_005_Nitrosopumilus maritimus SCM1_Culture_T33</t>
  </si>
  <si>
    <t xml:space="preserve">RR_culture_075</t>
  </si>
  <si>
    <t xml:space="preserve">Qin2015_006_Nitrosopumilus maritimus SCM1_Culture_T35</t>
  </si>
  <si>
    <t xml:space="preserve">RR_culture_076</t>
  </si>
  <si>
    <t xml:space="preserve">Qin2015_007_Nitrosopumilus cobalaminigenes HCA1_Culture_T10</t>
  </si>
  <si>
    <t xml:space="preserve">RR_culture_077</t>
  </si>
  <si>
    <t xml:space="preserve">   </t>
  </si>
  <si>
    <t xml:space="preserve">Qin2015_008_Nitrosopumilus cobalaminigenes HCA1_Culture_T15</t>
  </si>
  <si>
    <t xml:space="preserve">RR_culture_078</t>
  </si>
  <si>
    <t xml:space="preserve">Qin2015_009_Nitrosopumilus cobalaminigenes HCA1_Culture_T20</t>
  </si>
  <si>
    <t xml:space="preserve">RR_culture_079</t>
  </si>
  <si>
    <t xml:space="preserve">Qin2015_010_Nitrosopumilus cobalaminigenes HCA1_Culture_T25</t>
  </si>
  <si>
    <t xml:space="preserve">RR_culture_080</t>
  </si>
  <si>
    <t xml:space="preserve">Qin2015_011_Nitrosopumilus cobalaminigenes HCA1_Culture_T30</t>
  </si>
  <si>
    <t xml:space="preserve">RR_culture_081</t>
  </si>
  <si>
    <t xml:space="preserve">Qin2015_012_Nitrosopumilus oxyclinae HCE1_Culture_T10</t>
  </si>
  <si>
    <t xml:space="preserve">RR_culture_082</t>
  </si>
  <si>
    <t xml:space="preserve">Qin2015_013_Nitrosopumilus oxyclinae HCE1_Culture_T15</t>
  </si>
  <si>
    <t xml:space="preserve">RR_culture_083</t>
  </si>
  <si>
    <t xml:space="preserve">Qin2015_014_Nitrosopumilus oxyclinae HCE1_Culture_T20</t>
  </si>
  <si>
    <t xml:space="preserve">RR_culture_084</t>
  </si>
  <si>
    <t xml:space="preserve">Qin2015_015_Nitrosopumilus oxyclinae HCE1_Culture_T22</t>
  </si>
  <si>
    <t xml:space="preserve">RR_culture_085</t>
  </si>
  <si>
    <t xml:space="preserve">Qin2015_016_Nitrosopumilus oxyclinae HCE1_Culture_T25</t>
  </si>
  <si>
    <t xml:space="preserve">RR_culture_086</t>
  </si>
  <si>
    <t xml:space="preserve">Qin2015_017_Nitrosopumilus ureiphilus PS0_Culture_T25</t>
  </si>
  <si>
    <t xml:space="preserve">s__Nitrosopumilus ureiphilus</t>
  </si>
  <si>
    <t xml:space="preserve">a nearshore marine surface sediment in Seattle</t>
  </si>
  <si>
    <t xml:space="preserve">RR_culture_087</t>
  </si>
  <si>
    <t xml:space="preserve">Qin2015_018_Nitrosopumilus maritimus SCM1_T30_oxy01</t>
  </si>
  <si>
    <t xml:space="preserve">RR_culture_088</t>
  </si>
  <si>
    <t xml:space="preserve">Culture-oxygen</t>
  </si>
  <si>
    <t xml:space="preserve">Qin2015_019_Nitrosopumilus maritimus SCM1_T30_oxy1</t>
  </si>
  <si>
    <t xml:space="preserve">RR_culture_089</t>
  </si>
  <si>
    <t xml:space="preserve">Qin2015_020_Nitrosopumilus maritimus SCM1_T30_oxy5</t>
  </si>
  <si>
    <t xml:space="preserve">RR_culture_090</t>
  </si>
  <si>
    <t xml:space="preserve">Qin2015_021_Nitrosopumilus maritimus SCM1_T30_oxy10</t>
  </si>
  <si>
    <t xml:space="preserve">RR_culture_091</t>
  </si>
  <si>
    <t xml:space="preserve">Qin2015_022_Nitrosopumilus maritimus SCM1_T30_oxy21</t>
  </si>
  <si>
    <t xml:space="preserve">RR_culture_092</t>
  </si>
  <si>
    <t xml:space="preserve">Qin2015_023_Nitrosopumilus ureiphilus PS0_T26_oxy01</t>
  </si>
  <si>
    <t xml:space="preserve">RR_culture_093</t>
  </si>
  <si>
    <t xml:space="preserve">Qin2015_024_Nitrosopumilus ureiphilus PS0_T26_oxy02</t>
  </si>
  <si>
    <t xml:space="preserve">RR_culture_094</t>
  </si>
  <si>
    <t xml:space="preserve">Qin2015_025_Nitrosopumilus ureiphilus PS0_T26_oxy05</t>
  </si>
  <si>
    <t xml:space="preserve">RR_culture_095</t>
  </si>
  <si>
    <t xml:space="preserve">Qin2015_026_Nitrosopumilus ureiphilus PS0_T26_oxy1</t>
  </si>
  <si>
    <t xml:space="preserve">RR_culture_096</t>
  </si>
  <si>
    <t xml:space="preserve">Qin2015_027_Nitrosopumilus ureiphilus PS0_T26_oxy5</t>
  </si>
  <si>
    <t xml:space="preserve">RR_culture_097</t>
  </si>
  <si>
    <t xml:space="preserve">Qin2015_028_Nitrosopumilus ureiphilus PS0_T26_oxy10</t>
  </si>
  <si>
    <t xml:space="preserve">RR_culture_098</t>
  </si>
  <si>
    <t xml:space="preserve">Qin2015_029_Nitrosopumilus ureiphilus PS0_T26_oxy21</t>
  </si>
  <si>
    <t xml:space="preserve">RR_culture_099</t>
  </si>
  <si>
    <t xml:space="preserve">Hurley2016_N. maritimus SCM1_T28_pH7.6_slowGrowthRate</t>
  </si>
  <si>
    <t xml:space="preserve">RR_culture_100</t>
  </si>
  <si>
    <t xml:space="preserve">slow</t>
  </si>
  <si>
    <t xml:space="preserve">Culture-growth-rate</t>
  </si>
  <si>
    <t xml:space="preserve">NP-UHPLC-APCI-qTOF-MS</t>
  </si>
  <si>
    <r>
      <rPr>
        <sz val="11"/>
        <color rgb="FF000000"/>
        <rFont val="Aptos Narrow"/>
        <family val="2"/>
        <charset val="1"/>
      </rPr>
      <t xml:space="preserve">Hurley et al. (2016) </t>
    </r>
    <r>
      <rPr>
        <i val="true"/>
        <sz val="11"/>
        <color rgb="FF000000"/>
        <rFont val="Aptos Narrow"/>
        <family val="2"/>
        <charset val="1"/>
      </rPr>
      <t xml:space="preserve">PNAS</t>
    </r>
  </si>
  <si>
    <t xml:space="preserve">Hurley et al. (2016)</t>
  </si>
  <si>
    <t xml:space="preserve">Sarah</t>
  </si>
  <si>
    <t xml:space="preserve">https://doi.org/10.1073/pnas.1518534113</t>
  </si>
  <si>
    <t xml:space="preserve">Hurley2016_N_maritimus SCM1_T28_pH7.6_intermediateGrowthRate</t>
  </si>
  <si>
    <t xml:space="preserve">RR_culture_101</t>
  </si>
  <si>
    <t xml:space="preserve">intermediate</t>
  </si>
  <si>
    <t xml:space="preserve">Hurley2016_N_maritimus SCM1_T28_pH7.6_fastGrowthRate</t>
  </si>
  <si>
    <t xml:space="preserve">RR_culture_102</t>
  </si>
  <si>
    <t xml:space="preserve">fast</t>
  </si>
  <si>
    <t xml:space="preserve">Pitcher2011_Ca Nitrosoarchaeum limnia SFB1_T22_pH</t>
  </si>
  <si>
    <t xml:space="preserve">g__Nitrosarchaeum</t>
  </si>
  <si>
    <t xml:space="preserve">marine sediments taken from the San Francisco Bay estuary</t>
  </si>
  <si>
    <t xml:space="preserve">San Francisco Bay estuary</t>
  </si>
  <si>
    <t xml:space="preserve">RR_culture_103</t>
  </si>
  <si>
    <t xml:space="preserve">0.22-0.7</t>
  </si>
  <si>
    <r>
      <rPr>
        <sz val="11"/>
        <color rgb="FF000000"/>
        <rFont val="Aptos Narrow"/>
        <family val="2"/>
        <charset val="1"/>
      </rPr>
      <t xml:space="preserve">Pitcher et al. (2011)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</si>
  <si>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Pitcher2011_SJ_T25_pH8.2</t>
  </si>
  <si>
    <t xml:space="preserve">coastal marine sediments from South Korea</t>
  </si>
  <si>
    <t xml:space="preserve">RR_culture_104</t>
  </si>
  <si>
    <t xml:space="preserve">Pitcher2011_AR1_T25_pH8.2</t>
  </si>
  <si>
    <t xml:space="preserve">coastal marine sediments from Svalbard, Norway</t>
  </si>
  <si>
    <t xml:space="preserve">Svalbard, Norway</t>
  </si>
  <si>
    <t xml:space="preserve">RR_culture_105</t>
  </si>
  <si>
    <t xml:space="preserve">SinningheDamste2012_Ca_Nitrosoarchaeum koreensis MY1T_T25_pH6.9</t>
  </si>
  <si>
    <t xml:space="preserve">Nitrosarchaeum koreense MY1T</t>
  </si>
  <si>
    <t xml:space="preserve">s__Nitrosoarchaeum koreensis</t>
  </si>
  <si>
    <t xml:space="preserve">Soil mesophile</t>
  </si>
  <si>
    <t xml:space="preserve">RR_culture_106</t>
  </si>
  <si>
    <r>
      <rPr>
        <sz val="11"/>
        <color rgb="FF000000"/>
        <rFont val="Aptos Narrow"/>
        <family val="2"/>
        <charset val="1"/>
      </rPr>
      <t xml:space="preserve">Sinninghe Damste et al. (2012)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</si>
  <si>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Jaap</t>
  </si>
  <si>
    <t xml:space="preserve">SinningheDamste2012_Ca_Nitrososphaera JG1_T37_pH6.5</t>
  </si>
  <si>
    <t xml:space="preserve">RR_culture_107</t>
  </si>
  <si>
    <t xml:space="preserve">SinningheDamste2012_Nitrososphaera viennensis EN76_T37_pH7.5</t>
  </si>
  <si>
    <t xml:space="preserve">s__Nitrososphaera viennensis</t>
  </si>
  <si>
    <t xml:space="preserve">RR_culture_108</t>
  </si>
  <si>
    <t xml:space="preserve">Schouten2008_Nitrosopumilus maritimus SCM1_culture_T28_pH7.1</t>
  </si>
  <si>
    <t xml:space="preserve">RR_culture_109</t>
  </si>
  <si>
    <t xml:space="preserve">Total GDGTs (Base and Acid hydrolysis)</t>
  </si>
  <si>
    <r>
      <rPr>
        <sz val="11"/>
        <color rgb="FF000000"/>
        <rFont val="Aptos Narrow"/>
        <family val="2"/>
        <charset val="1"/>
      </rPr>
      <t xml:space="preserve">Schouten et al. (2008)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</si>
  <si>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GDGT fractions digitized from Fig.2 in the original paper (total; acid+base hydrolysis -- different from reported values in Bale et al. 2019) ; pH were assumed based on the culturing approach that followed Konneke et al. (2005) with monitored pH range of 7.0-7.2</t>
  </si>
  <si>
    <t xml:space="preserve">Schouten et al. (2008)</t>
  </si>
  <si>
    <t xml:space="preserve">Stefan</t>
  </si>
  <si>
    <t xml:space="preserve">https://journals.asm.org/doi/10.1128/aem.01709-07#F2</t>
  </si>
  <si>
    <t xml:space="preserve">SinningheDamster2002_Ca_Cenarchaeum symbiosum A_culture_T10</t>
  </si>
  <si>
    <t xml:space="preserve">g__Cenarchaeum</t>
  </si>
  <si>
    <t xml:space="preserve">o__Cenarchaeales</t>
  </si>
  <si>
    <t xml:space="preserve">RR_culture_110</t>
  </si>
  <si>
    <t xml:space="preserve">refluxing with 2 N HCl in methanol for 8 h, followed by liquid/liquid extraction with DCM</t>
  </si>
  <si>
    <r>
      <rPr>
        <sz val="11"/>
        <color rgb="FF000000"/>
        <rFont val="Aptos Narrow"/>
        <family val="2"/>
        <charset val="1"/>
      </rPr>
      <t xml:space="preserve">Sinninghe Damste et al. (2002) </t>
    </r>
    <r>
      <rPr>
        <i val="true"/>
        <sz val="11"/>
        <color rgb="FF000000"/>
        <rFont val="Aptos Narrow"/>
        <family val="2"/>
        <charset val="1"/>
      </rPr>
      <t xml:space="preserve">Journal of Lipid Research</t>
    </r>
  </si>
  <si>
    <r>
      <rPr>
        <sz val="11"/>
        <color rgb="FF000000"/>
        <rFont val="Aptos Narrow"/>
        <family val="2"/>
        <charset val="1"/>
      </rPr>
      <t xml:space="preserve">Data retrieved from Bale et al. (2019)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</si>
  <si>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Jung2011_Ca_Nitrosoarchaeum koreense MY1T_culture_T25</t>
  </si>
  <si>
    <t xml:space="preserve">RR_culture_111</t>
  </si>
  <si>
    <r>
      <rPr>
        <sz val="11"/>
        <color rgb="FF000000"/>
        <rFont val="Aptos Narrow"/>
        <family val="2"/>
        <charset val="1"/>
      </rPr>
      <t xml:space="preserve">Jung et al. (2011)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</si>
  <si>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Data retrieved from Bale et al. (2019) AEM; Culturing pH 6.8-7.0</t>
  </si>
  <si>
    <t xml:space="preserve">Man-Young</t>
  </si>
  <si>
    <t xml:space="preserve">Jung2014_Ca_Nitrosotenuis chungbukensis MY2_culture_T25</t>
  </si>
  <si>
    <t xml:space="preserve">c__</t>
  </si>
  <si>
    <t xml:space="preserve">o__</t>
  </si>
  <si>
    <t xml:space="preserve">RR_culture_112</t>
  </si>
  <si>
    <r>
      <rPr>
        <sz val="11"/>
        <color rgb="FF000000"/>
        <rFont val="Aptos Narrow"/>
        <family val="2"/>
        <charset val="1"/>
      </rPr>
      <t xml:space="preserve">Jung et al. (2014) </t>
    </r>
    <r>
      <rPr>
        <i val="true"/>
        <sz val="11"/>
        <color rgb="FF000000"/>
        <rFont val="Aptos Narrow"/>
        <family val="2"/>
        <charset val="1"/>
      </rPr>
      <t xml:space="preserve">AEM</t>
    </r>
  </si>
  <si>
    <t xml:space="preserve">Data retrieved from Bale et al. (2019) AEM; pH adjusted to optimum growth pH</t>
  </si>
  <si>
    <t xml:space="preserve">Jung2016_Ca_Nitrosocosmicus oleophilus MY3_culture_T30</t>
  </si>
  <si>
    <t xml:space="preserve">g__Nitrosocosmicus</t>
  </si>
  <si>
    <t xml:space="preserve">Terrestrial mesophile</t>
  </si>
  <si>
    <t xml:space="preserve">RR_culture_113</t>
  </si>
  <si>
    <t xml:space="preserve">NP-UHPLC-APCI-Single Quad-MS</t>
  </si>
  <si>
    <r>
      <rPr>
        <sz val="11"/>
        <color rgb="FF000000"/>
        <rFont val="Aptos Narrow"/>
        <family val="2"/>
        <charset val="1"/>
      </rPr>
      <t xml:space="preserve">Jung et al. (2016) </t>
    </r>
    <r>
      <rPr>
        <i val="true"/>
        <sz val="11"/>
        <color rgb="FF000000"/>
        <rFont val="Aptos Narrow"/>
        <family val="2"/>
        <charset val="1"/>
      </rPr>
      <t xml:space="preserve">Environmental Microbiology Reports</t>
    </r>
  </si>
  <si>
    <r>
      <rPr>
        <sz val="11"/>
        <color rgb="FF000000"/>
        <rFont val="Aptos Narrow"/>
        <family val="2"/>
        <charset val="1"/>
      </rPr>
      <t xml:space="preserve">Data retrieved from Bale et al. (2019) </t>
    </r>
    <r>
      <rPr>
        <i val="true"/>
        <sz val="11"/>
        <color rgb="FF000000"/>
        <rFont val="Aptos Narrow"/>
        <family val="2"/>
        <charset val="1"/>
      </rPr>
      <t xml:space="preserve">AEM</t>
    </r>
    <r>
      <rPr>
        <sz val="11"/>
        <color rgb="FF000000"/>
        <rFont val="Aptos Narrow"/>
        <family val="2"/>
        <charset val="1"/>
      </rPr>
      <t xml:space="preserve">; optimum pH 6.5-7.0</t>
    </r>
  </si>
  <si>
    <t xml:space="preserve">Boyd2011_Acidilobus_sulfurireducens_culture_T65_pH3_IonicStrength44.9</t>
  </si>
  <si>
    <t xml:space="preserve">Acidilobus sulfurireducens 7A</t>
  </si>
  <si>
    <t xml:space="preserve">s__Acidilobus sp003431325</t>
  </si>
  <si>
    <t xml:space="preserve">s__Acidilobus sp. 7A </t>
  </si>
  <si>
    <t xml:space="preserve">Hyperthermophilic</t>
  </si>
  <si>
    <t xml:space="preserve">Yellowstone</t>
  </si>
  <si>
    <t xml:space="preserve">RR_culture_114</t>
  </si>
  <si>
    <r>
      <rPr>
        <sz val="11"/>
        <color rgb="FF000000"/>
        <rFont val="Aptos Narrow"/>
        <family val="2"/>
        <charset val="1"/>
      </rPr>
      <t xml:space="preserve">Boyd et al. (2011) </t>
    </r>
    <r>
      <rPr>
        <i val="true"/>
        <sz val="11"/>
        <color rgb="FF000000"/>
        <rFont val="Aptos Narrow"/>
        <family val="2"/>
        <charset val="1"/>
      </rPr>
      <t xml:space="preserve">Extremophiles</t>
    </r>
  </si>
  <si>
    <t xml:space="preserve">Eric</t>
  </si>
  <si>
    <t xml:space="preserve">Boyd2011_Acidilobus_sulfurireducens_culture_T70_pH3_IonicStrength44.9</t>
  </si>
  <si>
    <t xml:space="preserve">RR_culture_115</t>
  </si>
  <si>
    <t xml:space="preserve">Boyd2011_Acidilobus_sulfurireducens_culture_T75_pH3_IonicStrength44.9</t>
  </si>
  <si>
    <t xml:space="preserve">RR_culture_116</t>
  </si>
  <si>
    <t xml:space="preserve">Boyd2011_Acidilobus_sulfurireducens_culture_T81_pH3_IonicStrength44.9</t>
  </si>
  <si>
    <t xml:space="preserve">RR_culture_117</t>
  </si>
  <si>
    <t xml:space="preserve">Boyd2011_Acidilobus_sulfurireducens_culture_T81_pH3.5_IonicStrength43.3</t>
  </si>
  <si>
    <t xml:space="preserve">RR_culture_118</t>
  </si>
  <si>
    <t xml:space="preserve">Culture-pH</t>
  </si>
  <si>
    <t xml:space="preserve">Boyd2011_Acidilobus_sulfurireducens_culture_T81_pH4_IonicStrength43.1</t>
  </si>
  <si>
    <t xml:space="preserve">RR_culture_119</t>
  </si>
  <si>
    <t xml:space="preserve">Boyd2011_Acidilobus_sulfurireducens_culture_T81_pH4.5_IonicStrength43.1</t>
  </si>
  <si>
    <t xml:space="preserve">RR_culture_120</t>
  </si>
  <si>
    <t xml:space="preserve">Boyd2011_Acidilobus_sulfurireducens_culture_T81_pH5.0_IonicStrength43.1</t>
  </si>
  <si>
    <t xml:space="preserve">RR_culture_121</t>
  </si>
  <si>
    <t xml:space="preserve">Boyd2011_Acidilobus_sulfurireducens_culture_T81_pH3_IonicStrength10.1</t>
  </si>
  <si>
    <t xml:space="preserve">RR_culture_122</t>
  </si>
  <si>
    <t xml:space="preserve">Culture-ionic-strength</t>
  </si>
  <si>
    <t xml:space="preserve">Boyd2011_Acidilobus_sulfurireducens_culture_T81_pH3_IonicStrength15.0</t>
  </si>
  <si>
    <t xml:space="preserve">RR_culture_123</t>
  </si>
  <si>
    <t xml:space="preserve">Boyd2011_Acidilobus_sulfurireducens_culture_T81_pH3_IonicStrength22.3</t>
  </si>
  <si>
    <t xml:space="preserve">RR_culture_124</t>
  </si>
  <si>
    <t xml:space="preserve">Boyd2011_Acidilobus_sulfurireducens_culture_T81_pH3_IonicStrength27.8</t>
  </si>
  <si>
    <t xml:space="preserve">RR_culture_125</t>
  </si>
  <si>
    <t xml:space="preserve">Boyd2011_Acidilobus_sulfurireducens_culture_T81_pH3_IonicStrength38</t>
  </si>
  <si>
    <t xml:space="preserve">RR_culture_126</t>
  </si>
  <si>
    <t xml:space="preserve">Boyd2011_Acidilobus_sulfurireducens_culture_T81_pH3_IonicStrength55.7</t>
  </si>
  <si>
    <t xml:space="preserve">RR_culture_127</t>
  </si>
  <si>
    <t xml:space="preserve">Feyhl-Buska2016_Picrophilus torridus_Culture-C-GDGT_T53_pH0.7_growthLog</t>
  </si>
  <si>
    <t xml:space="preserve">Picrophilus torridus</t>
  </si>
  <si>
    <t xml:space="preserve">p__Thermoplasmatota</t>
  </si>
  <si>
    <t xml:space="preserve">f__Thermoplasmataceae</t>
  </si>
  <si>
    <t xml:space="preserve">g__Picrophilus</t>
  </si>
  <si>
    <t xml:space="preserve">p__Ca. Thermoplasmatota</t>
  </si>
  <si>
    <t xml:space="preserve">Thermoacidophile</t>
  </si>
  <si>
    <t xml:space="preserve">RR_culture_128</t>
  </si>
  <si>
    <t xml:space="preserve">growthlog_growth_rate</t>
  </si>
  <si>
    <t xml:space="preserve">NP-HPLC-APCI-QQQ-MS</t>
  </si>
  <si>
    <r>
      <rPr>
        <sz val="11"/>
        <color rgb="FF000000"/>
        <rFont val="Aptos Narrow"/>
        <family val="2"/>
        <charset val="1"/>
      </rPr>
      <t xml:space="preserve">Feyhl-Buska et al. (2016) </t>
    </r>
    <r>
      <rPr>
        <i val="true"/>
        <sz val="11"/>
        <color rgb="FF000000"/>
        <rFont val="Aptos Narrow"/>
        <family val="2"/>
        <charset val="1"/>
      </rPr>
      <t xml:space="preserve">Frontiers in Microbiology</t>
    </r>
  </si>
  <si>
    <t xml:space="preserve">Jayme</t>
  </si>
  <si>
    <t xml:space="preserve">Feyhl-Buska2016_Picrophilus torridus_Culture-C-GDGT_T58_pH0.7_growthLog</t>
  </si>
  <si>
    <t xml:space="preserve">RR_culture_129</t>
  </si>
  <si>
    <t xml:space="preserve">Feyhl-Buska2016_Picrophilus torridus_Culture-C-GDGT_T63_pH0.7_growthLog</t>
  </si>
  <si>
    <t xml:space="preserve">RR_culture_130</t>
  </si>
  <si>
    <t xml:space="preserve">Feyhl-Buska2016_Picrophilus torridus_Culture-IPL-GDGT_T53_pH0.7_growthLog</t>
  </si>
  <si>
    <t xml:space="preserve">RR_culture_131</t>
  </si>
  <si>
    <t xml:space="preserve">Feyhl-Buska2016_Picrophilus torridus_Culture-IPL-GDGT_T58_pH0.7_growthLog</t>
  </si>
  <si>
    <t xml:space="preserve">RR_culture_132</t>
  </si>
  <si>
    <t xml:space="preserve">Feyhl-Buska2016_Picrophilus torridus_Culture-IPL-GDGT_T63_pH0.7_growthLog</t>
  </si>
  <si>
    <t xml:space="preserve">RR_culture_133</t>
  </si>
  <si>
    <t xml:space="preserve">Feyhl-Buska2016_Picrophilus torridus_Culture-C-GDGT_T58_pH0.3_growthLog</t>
  </si>
  <si>
    <t xml:space="preserve">RR_culture_134</t>
  </si>
  <si>
    <t xml:space="preserve">Feyhl-Buska2016_Picrophilus torridus_Culture-C-GDGT_T58_pH0.5_growthLog</t>
  </si>
  <si>
    <t xml:space="preserve">RR_culture_135</t>
  </si>
  <si>
    <t xml:space="preserve">RR_culture_136</t>
  </si>
  <si>
    <t xml:space="preserve">Feyhl-Buska2016_Picrophilus torridus_Culture-C-GDGT_T58_pH0.9_growthLog</t>
  </si>
  <si>
    <t xml:space="preserve">RR_culture_137</t>
  </si>
  <si>
    <t xml:space="preserve">Feyhl-Buska2016_Picrophilus torridus_Culture-C-GDGT_T58_pH1.1_growthLog</t>
  </si>
  <si>
    <t xml:space="preserve">RR_culture_138</t>
  </si>
  <si>
    <t xml:space="preserve">Feyhl-Buska2016_Picrophilus torridus_Culture-IPL-GDGT_T58_pH0.3_growthLog</t>
  </si>
  <si>
    <t xml:space="preserve">RR_culture_139</t>
  </si>
  <si>
    <t xml:space="preserve">Feyhl-Buska2016_Picrophilus torridus_Culture-IPL-GDGT_T58_pH0.5_growthLog</t>
  </si>
  <si>
    <t xml:space="preserve">RR_culture_140</t>
  </si>
  <si>
    <t xml:space="preserve">RR_culture_141</t>
  </si>
  <si>
    <t xml:space="preserve">Feyhl-Buska2016_Picrophilus torridus_Culture-IPL-GDGT_T58_pH0.9_growthLog</t>
  </si>
  <si>
    <t xml:space="preserve">RR_culture_142</t>
  </si>
  <si>
    <t xml:space="preserve">Feyhl-Buska2016_Picrophilus torridus_Culture-IPL-GDGT_T58_pH1.1_growthLog</t>
  </si>
  <si>
    <t xml:space="preserve">RR_culture_143</t>
  </si>
  <si>
    <t xml:space="preserve">Feyhl-Buska2016_Picrophilus torridus_Culture-C-GDGT_T58_pH0.7_Lag</t>
  </si>
  <si>
    <t xml:space="preserve">RR_culture_144</t>
  </si>
  <si>
    <t xml:space="preserve">lag_growth_rate</t>
  </si>
  <si>
    <t xml:space="preserve">Feyhl-Buska2016_Picrophilus torridus_Culture-C-GDGT_T58_pH0.7_earlyLog</t>
  </si>
  <si>
    <t xml:space="preserve">RR_culture_145</t>
  </si>
  <si>
    <t xml:space="preserve">earlylog_growth_rate</t>
  </si>
  <si>
    <t xml:space="preserve">RR_culture_146</t>
  </si>
  <si>
    <t xml:space="preserve">Feyhl-Buska2016_Picrophilus torridus_Culture-C-GDGT_T58_pH0.7_lateLog</t>
  </si>
  <si>
    <t xml:space="preserve">RR_culture_147</t>
  </si>
  <si>
    <t xml:space="preserve">latelog_growth_rate</t>
  </si>
  <si>
    <t xml:space="preserve">Feyhl-Buska2016_Picrophilus torridus_Culture-C-GDGT_T58_pH0.7_growthDeath</t>
  </si>
  <si>
    <t xml:space="preserve">RR_culture_148</t>
  </si>
  <si>
    <t xml:space="preserve">growthdeath_growth_rate</t>
  </si>
  <si>
    <t xml:space="preserve">Feyhl-Buska2016_Picrophilus torridus_Culture-IPL-GDGT_T58_pH0.7_Lag</t>
  </si>
  <si>
    <t xml:space="preserve">RR_culture_149</t>
  </si>
  <si>
    <t xml:space="preserve">Feyhl-Buska2016_Picrophilus torridus_Culture-IPL-GDGT_T58_pH0.7_earlyLog</t>
  </si>
  <si>
    <t xml:space="preserve">RR_culture_150</t>
  </si>
  <si>
    <t xml:space="preserve">RR_culture_151</t>
  </si>
  <si>
    <t xml:space="preserve">Feyhl-Buska2016_Picrophilus torridus_Culture-IPL-GDGT_T58_pH0.7_lateLog</t>
  </si>
  <si>
    <t xml:space="preserve">RR_culture_152</t>
  </si>
  <si>
    <t xml:space="preserve">Feyhl-Buska2016_Picrophilus torridus_Culture-IPL-GDGT_T58_pH0.7_growthDeath</t>
  </si>
  <si>
    <t xml:space="preserve">RR_culture_153</t>
  </si>
  <si>
    <t xml:space="preserve">Varma2024_Nitrosopumilus piranesis D3C_culture_C-GDGT_T25_midExpo</t>
  </si>
  <si>
    <t xml:space="preserve">RR_culture_154</t>
  </si>
  <si>
    <t xml:space="preserve">mid-exponential phase</t>
  </si>
  <si>
    <t xml:space="preserve">Inferred total GDGTs from IPLs</t>
  </si>
  <si>
    <t xml:space="preserve">RP-UHPLC-ESI-Orbitrap-MS/MS-inferredCoreLipids</t>
  </si>
  <si>
    <r>
      <rPr>
        <sz val="11"/>
        <color rgb="FF000000"/>
        <rFont val="Aptos Narrow"/>
        <family val="2"/>
        <charset val="1"/>
      </rPr>
      <t xml:space="preserve">Varma et al. (2024) </t>
    </r>
    <r>
      <rPr>
        <i val="true"/>
        <sz val="11"/>
        <color rgb="FF000000"/>
        <rFont val="Aptos Narrow"/>
        <family val="2"/>
        <charset val="1"/>
      </rPr>
      <t xml:space="preserve">Biogeosciences</t>
    </r>
  </si>
  <si>
    <t xml:space="preserve">Data from original source; Retrived from Table S3</t>
  </si>
  <si>
    <t xml:space="preserve">Varma et al. (2024)</t>
  </si>
  <si>
    <t xml:space="preserve">Devika</t>
  </si>
  <si>
    <t xml:space="preserve">https://doi.org/10.5194/bg-21-4875-2024</t>
  </si>
  <si>
    <t xml:space="preserve">Varma2024_Nitrosopumilus piranesis D3C_culture_C-GDGT_T30_midExpo</t>
  </si>
  <si>
    <t xml:space="preserve">RR_culture_155</t>
  </si>
  <si>
    <t xml:space="preserve">Varma2024_Nitrosopumilus piranesis D3C_culture_C-GDGT_T35_midExpo</t>
  </si>
  <si>
    <t xml:space="preserve">RR_culture_156</t>
  </si>
  <si>
    <t xml:space="preserve">Varma2024_Nitrosopumilus piranesis D3C_culture_C-GDGT_T25_stationaryPhase</t>
  </si>
  <si>
    <t xml:space="preserve">RR_culture_157</t>
  </si>
  <si>
    <t xml:space="preserve">Varma2024_Nitrosopumilus piranesis D3C_culture_C-GDGT_T30_stationaryPhase</t>
  </si>
  <si>
    <t xml:space="preserve">RR_culture_158</t>
  </si>
  <si>
    <t xml:space="preserve">Varma2024_Nitrosopumilus piranesis D3C_culture_C-GDGT_T35_stationaryPhase</t>
  </si>
  <si>
    <t xml:space="preserve">RR_culture_159</t>
  </si>
  <si>
    <t xml:space="preserve">Varma2024_Nitrosopumilus adriaticus NF5_culture_C-GDGT_T20_midExpo</t>
  </si>
  <si>
    <t xml:space="preserve">RR_culture_160</t>
  </si>
  <si>
    <t xml:space="preserve">Varma2024_Nitrosopumilus adriaticus NF5_culture_C-GDGT_T25_midExpo</t>
  </si>
  <si>
    <t xml:space="preserve">RR_culture_161</t>
  </si>
  <si>
    <t xml:space="preserve">Varma2024_Nitrosopumilus adriaticus NF5_culture_C-GDGT_T30_midExpo</t>
  </si>
  <si>
    <t xml:space="preserve">RR_culture_162</t>
  </si>
  <si>
    <t xml:space="preserve">Varma2024_Nitrosopumilus adriaticus NF5_culture_C-GDGT_T20_stationaryPhase</t>
  </si>
  <si>
    <t xml:space="preserve">RR_culture_163</t>
  </si>
  <si>
    <t xml:space="preserve">Varma2024_Nitrosopumilus adriaticus NF5_culture_C-GDGT_T25_stationaryPhase</t>
  </si>
  <si>
    <t xml:space="preserve">RR_culture_164</t>
  </si>
  <si>
    <t xml:space="preserve">Varma2024_Nitrosopumilus adriaticus NF5_culture_C-GDGT_T30_stationaryPhase</t>
  </si>
  <si>
    <t xml:space="preserve">RR_culture_165</t>
  </si>
  <si>
    <t xml:space="preserve">Elling_etal_unpubl_Nitrososphaera viennensis EN76_Soil_T32</t>
  </si>
  <si>
    <t xml:space="preserve">RR_culture_166</t>
  </si>
  <si>
    <t xml:space="preserve">Hydrolysed biomass</t>
  </si>
  <si>
    <t xml:space="preserve">NP-HPLC-APCI-Single/Triple Quad-MS</t>
  </si>
  <si>
    <t xml:space="preserve">Elling et al. Unpublished</t>
  </si>
  <si>
    <t xml:space="preserve">Elling et al. (unpublished)</t>
  </si>
  <si>
    <t xml:space="preserve">Unpublished dataset</t>
  </si>
  <si>
    <t xml:space="preserve">Elling_etal_unpubl_Nitrososphaera viennensis EN76_Soil_T37</t>
  </si>
  <si>
    <t xml:space="preserve">RR_culture_167</t>
  </si>
  <si>
    <t xml:space="preserve">Elling_etal_unpubl_Nitrososphaera viennensis EN76_Soil_T42</t>
  </si>
  <si>
    <t xml:space="preserve">RR_culture_168</t>
  </si>
  <si>
    <t xml:space="preserve">Elling_etal_unpubl_Nitrososphaera viennensis EN76_Soil_T47</t>
  </si>
  <si>
    <t xml:space="preserve">RR_culture_169</t>
  </si>
  <si>
    <t xml:space="preserve">Elling_etal_unpubl_Nitrosarchaeum koreense MY1T_Soil_T20</t>
  </si>
  <si>
    <t xml:space="preserve">RR_culture_170</t>
  </si>
  <si>
    <t xml:space="preserve">Elling_etal_unpubl_Nitrosarchaeum koreense MY1T_Soil_T23</t>
  </si>
  <si>
    <t xml:space="preserve">RR_culture_171</t>
  </si>
  <si>
    <t xml:space="preserve">Elling_etal_unpubl_Nitrosarchaeum koreense MY1T_Soil_T25</t>
  </si>
  <si>
    <t xml:space="preserve">RR_culture_172</t>
  </si>
  <si>
    <t xml:space="preserve">Elling_etal_unpubl_Nitrosarchaeum koreense MY1T_Soil_T29</t>
  </si>
  <si>
    <t xml:space="preserve">RR_culture_173</t>
  </si>
  <si>
    <t xml:space="preserve">Elling_etal_unpubl_Nitrosarchaeum koreense MY1T_Soil_T32</t>
  </si>
  <si>
    <t xml:space="preserve">RR_culture_174</t>
  </si>
  <si>
    <t xml:space="preserve">Elling_etal_unpubl_Nitrosopumilus piranensis D3C_Marine_T18</t>
  </si>
  <si>
    <t xml:space="preserve">RR_culture_175</t>
  </si>
  <si>
    <t xml:space="preserve">Elling_etal_unpubl_Nitrosopumilus piranensis D3C_Marine_T23</t>
  </si>
  <si>
    <t xml:space="preserve">RR_culture_176</t>
  </si>
  <si>
    <t xml:space="preserve">Elling_etal_unpubl_Nitrosopumilus piranensis D3C_Marine_T28</t>
  </si>
  <si>
    <t xml:space="preserve">RR_culture_177</t>
  </si>
  <si>
    <t xml:space="preserve">Elling_etal_unpubl_Nitrosopumilus piranensis D3C_Marine_T32</t>
  </si>
  <si>
    <t xml:space="preserve">RR_culture_178</t>
  </si>
  <si>
    <t xml:space="preserve">Elling_etal_unpubl_Nitropelagicus brevis CN25_Marine_T20</t>
  </si>
  <si>
    <t xml:space="preserve"> p__Thermoproteota</t>
  </si>
  <si>
    <t xml:space="preserve"> g__Nitrosopelagicus</t>
  </si>
  <si>
    <t xml:space="preserve"> s__Nitrosopelagicus brevis</t>
  </si>
  <si>
    <t xml:space="preserve"> g__Ca. Nitrosopelagicus</t>
  </si>
  <si>
    <t xml:space="preserve"> s__Ca. Nitrosopelagicus brevis </t>
  </si>
  <si>
    <t xml:space="preserve">RR_culture_179</t>
  </si>
  <si>
    <t xml:space="preserve">Elling_etal_unpubl_Nitrosopumilus adriaticus CCS1_Marine_T15</t>
  </si>
  <si>
    <t xml:space="preserve">RR_culture_180</t>
  </si>
  <si>
    <t xml:space="preserve">Elling_etal_unpubl_Nitrosopumilus adriaticus CCS1_Marine_T20</t>
  </si>
  <si>
    <t xml:space="preserve">RR_culture_181</t>
  </si>
  <si>
    <t xml:space="preserve">Elling_etal_unpubl_Nitrosopumilus adriaticus CCS1_Marine_T25</t>
  </si>
  <si>
    <t xml:space="preserve">RR_culture_182</t>
  </si>
  <si>
    <t xml:space="preserve">Elling_etal_unpubl_Nitrosopumilus adriaticus CCS1_Marine_T30</t>
  </si>
  <si>
    <t xml:space="preserve">Ca. Nitrosomarinus catalina SPOT1</t>
  </si>
  <si>
    <t xml:space="preserve">RR_culture_183</t>
  </si>
  <si>
    <t xml:space="preserve">Elling_etal_unpubl_Ca_Nitrosomarinus catalina SPOT1_Marine_T15</t>
  </si>
  <si>
    <t xml:space="preserve"> g__Nitrosopumilus</t>
  </si>
  <si>
    <t xml:space="preserve"> s__Nitrosopumilus catalinensis</t>
  </si>
  <si>
    <t xml:space="preserve"> o__Nitrosopumilales</t>
  </si>
  <si>
    <t xml:space="preserve"> g__Ca. Nitrosomarinus</t>
  </si>
  <si>
    <t xml:space="preserve"> s__Ca. Nitrosomarinus catalina </t>
  </si>
  <si>
    <t xml:space="preserve">coastal seawater from California</t>
  </si>
  <si>
    <t xml:space="preserve">California</t>
  </si>
  <si>
    <t xml:space="preserve">RR_culture_184</t>
  </si>
  <si>
    <t xml:space="preserve">Elling_etal_unpubl_Ca_Nitrosomarinus catalina SPOT1_Marine_T17</t>
  </si>
  <si>
    <t xml:space="preserve">RR_culture_185</t>
  </si>
  <si>
    <t xml:space="preserve">Elling_etal_unpubl_Ca_Nitrosomarinus catalina SPOT1_Marine_T20</t>
  </si>
  <si>
    <t xml:space="preserve">RR_culture_186</t>
  </si>
  <si>
    <t xml:space="preserve">Elling_etal_unpubl_Ca_Nitrosomarinus catalina SPOT1_Marine_T23</t>
  </si>
  <si>
    <t xml:space="preserve">RR_culture_187</t>
  </si>
  <si>
    <t xml:space="preserve">Evans_etal_2018_SCM1_Marine_repA_T28_lowNH4_0hr</t>
  </si>
  <si>
    <t xml:space="preserve">RR_culture_188</t>
  </si>
  <si>
    <t xml:space="preserve">Culture-nutrient-lowNH4</t>
  </si>
  <si>
    <t xml:space="preserve">Acid hydrolysis (cell pellets) with combusted sands</t>
  </si>
  <si>
    <t xml:space="preserve">RP-HPLC-ESI-Ion Trap-MS/MS</t>
  </si>
  <si>
    <r>
      <rPr>
        <sz val="11"/>
        <color rgb="FF000000"/>
        <rFont val="Aptos Narrow"/>
        <family val="2"/>
        <charset val="1"/>
      </rPr>
      <t xml:space="preserve">Evans et al. (2018) </t>
    </r>
    <r>
      <rPr>
        <i val="true"/>
        <sz val="11"/>
        <color rgb="FF000000"/>
        <rFont val="Aptos Narrow"/>
        <family val="2"/>
        <charset val="1"/>
      </rPr>
      <t xml:space="preserve">GCA</t>
    </r>
  </si>
  <si>
    <t xml:space="preserve">Evans et al. (2018)</t>
  </si>
  <si>
    <t xml:space="preserve">Thomas</t>
  </si>
  <si>
    <t xml:space="preserve">'https://doi.org/10.1016/j.gca.2018.09.001</t>
  </si>
  <si>
    <t xml:space="preserve">Evans_etal_2018_SCM1_Marine_repA_T28_lowNH4_12hr</t>
  </si>
  <si>
    <t xml:space="preserve">RR_culture_189</t>
  </si>
  <si>
    <t xml:space="preserve">Evans_etal_2018_SCM1_Marine_repA_T28_lowNH4_24hr</t>
  </si>
  <si>
    <t xml:space="preserve">RR_culture_190</t>
  </si>
  <si>
    <t xml:space="preserve">Evans_etal_2018_SCM1_Marine_repA_T28_lowNH4_36hr</t>
  </si>
  <si>
    <t xml:space="preserve">RR_culture_191</t>
  </si>
  <si>
    <t xml:space="preserve">Evans_etal_2018_SCM1_Marine_repA_T28_lowNH4_48hr</t>
  </si>
  <si>
    <t xml:space="preserve">RR_culture_192</t>
  </si>
  <si>
    <t xml:space="preserve">Evans_etal_2018_SCM1_Marine_repA_T28_lowNH4_72hr</t>
  </si>
  <si>
    <t xml:space="preserve">RR_culture_193</t>
  </si>
  <si>
    <t xml:space="preserve">Evans_etal_2018_SCM1_Marine_repB_T28_lowNH4_12hr</t>
  </si>
  <si>
    <t xml:space="preserve">RR_culture_194</t>
  </si>
  <si>
    <t xml:space="preserve">Evans_etal_2018_SCM1_Marine_repB_T28_lowNH4_24hr</t>
  </si>
  <si>
    <t xml:space="preserve">RR_culture_195</t>
  </si>
  <si>
    <t xml:space="preserve">Evans_etal_2018_SCM1_Marine_repB_T28_lowNH4_36hr</t>
  </si>
  <si>
    <t xml:space="preserve">RR_culture_196</t>
  </si>
  <si>
    <t xml:space="preserve">Evans_etal_2018_SCM1_Marine_repB_T28_lowNH4_48hr</t>
  </si>
  <si>
    <t xml:space="preserve">RR_culture_197</t>
  </si>
  <si>
    <t xml:space="preserve">Evans_etal_2018_SCM1_Marine_repA_T28_highNH4_0hr</t>
  </si>
  <si>
    <t xml:space="preserve">RR_culture_198</t>
  </si>
  <si>
    <t xml:space="preserve">Culture-nutrient-highNH4</t>
  </si>
  <si>
    <t xml:space="preserve">Evans_etal_2018_SCM1_Marine_repA_T28_highNH4_12hr</t>
  </si>
  <si>
    <t xml:space="preserve">RR_culture_199</t>
  </si>
  <si>
    <t xml:space="preserve">Evans_etal_2018_SCM1_Marine_repA_T28_highNH4_24hr</t>
  </si>
  <si>
    <t xml:space="preserve">RR_culture_200</t>
  </si>
  <si>
    <t xml:space="preserve">Evans_etal_2018_SCM1_Marine_repA_T28_highNH4_36hr</t>
  </si>
  <si>
    <t xml:space="preserve">RR_culture_201</t>
  </si>
  <si>
    <t xml:space="preserve">Evans_etal_2018_SCM1_Marine_repA_T28_highNH4_48hr</t>
  </si>
  <si>
    <t xml:space="preserve">RR_culture_202</t>
  </si>
  <si>
    <t xml:space="preserve">Evans_etal_2018_SCM1_Marine_repA_T28_highNH4_72hr</t>
  </si>
  <si>
    <t xml:space="preserve">RR_culture_203</t>
  </si>
  <si>
    <t xml:space="preserve">Evans_etal_2018_SCM1_Marine_repB_T28_highNH4_12hr</t>
  </si>
  <si>
    <t xml:space="preserve">RR_culture_204</t>
  </si>
  <si>
    <t xml:space="preserve">Evans_etal_2018_SCM1_Marine_repB_T28_highNH4_24hr</t>
  </si>
  <si>
    <t xml:space="preserve">RR_culture_205</t>
  </si>
  <si>
    <t xml:space="preserve">Evans_etal_2018_SCM1_Marine_repB_T28_highNH4_36hr</t>
  </si>
  <si>
    <t xml:space="preserve">RR_culture_206</t>
  </si>
  <si>
    <t xml:space="preserve">Evans_etal_2018_SCM1_Marine_repB_T28_highNH4_48hr</t>
  </si>
  <si>
    <t xml:space="preserve">RR_culture_207</t>
  </si>
  <si>
    <t xml:space="preserve">Elling_etal_unpubl_Nmaritimus_SCM1_24-1_CR11</t>
  </si>
  <si>
    <t xml:space="preserve">RR_culture_208</t>
  </si>
  <si>
    <t xml:space="preserve">Elling_etal_unpubl_Nmaritimus_SCM1_24-2_CR12</t>
  </si>
  <si>
    <t xml:space="preserve">RR_culture_209</t>
  </si>
  <si>
    <t xml:space="preserve">Elling_etal_unpubl_Nmaritimus_SCM1_24-3_CR13</t>
  </si>
  <si>
    <t xml:space="preserve">RR_culture_210</t>
  </si>
  <si>
    <t xml:space="preserve">Elling_etal_unpubl_Nmaritimus_SCM1_28-1_CR14</t>
  </si>
  <si>
    <t xml:space="preserve">RR_culture_211</t>
  </si>
  <si>
    <t xml:space="preserve">Elling_etal_unpubl_Nmaritimus_SCM1_28-2_CR15</t>
  </si>
  <si>
    <t xml:space="preserve">RR_culture_212</t>
  </si>
  <si>
    <t xml:space="preserve">Elling_etal_unpubl_Nmaritimus_SCM1_28-3_CR16</t>
  </si>
  <si>
    <t xml:space="preserve">RR_culture_213</t>
  </si>
  <si>
    <t xml:space="preserve">Elling_etal_unpubl_Nmaritimus_SCM1_32-1_CR17</t>
  </si>
  <si>
    <t xml:space="preserve">RR_culture_214</t>
  </si>
  <si>
    <t xml:space="preserve">Elling_etal_unpubl_Nmaritimus_SCM1_32-2_CR18</t>
  </si>
  <si>
    <t xml:space="preserve">RR_culture_215</t>
  </si>
  <si>
    <t xml:space="preserve">Elling_etal_unpubl_Nmaritimus_SCM1_32-3_CR19</t>
  </si>
  <si>
    <t xml:space="preserve">RR_culture_216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</si>
</sst>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0.0000"/>
    <numFmt numFmtId="168" formatCode="General"/>
  </numFmts>
  <fonts count="1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u val="single"/>
      <sz val="11"/>
      <color rgb="FF467886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sz val="9"/>
      <color rgb="FF000000"/>
      <name val="Tahoma"/>
      <family val="2"/>
      <charset val="1"/>
    </font>
    <font>
      <sz val="10"/>
      <color rgb="FF595959"/>
      <name val="Aptos Narrow"/>
      <family val="2"/>
    </font>
    <font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1E5F5"/>
        <bgColor rgb="FFC2F1C8"/>
      </patternFill>
    </fill>
    <fill>
      <patternFill patternType="solid">
        <fgColor rgb="FFF2CFEE"/>
        <bgColor rgb="FFD9D9D9"/>
      </patternFill>
    </fill>
    <fill>
      <patternFill patternType="solid">
        <fgColor rgb="FFC2F1C8"/>
        <bgColor rgb="FFC1E5F5"/>
      </patternFill>
    </fill>
    <fill>
      <patternFill patternType="solid">
        <fgColor rgb="FFD1D1D1"/>
        <bgColor rgb="FFD9D9D9"/>
      </patternFill>
    </fill>
    <fill>
      <patternFill patternType="solid">
        <fgColor rgb="FFFBE3D6"/>
        <bgColor rgb="FFF2CFEE"/>
      </patternFill>
    </fill>
    <fill>
      <patternFill patternType="solid">
        <fgColor rgb="FF78206E"/>
        <bgColor rgb="FF993366"/>
      </patternFill>
    </fill>
    <fill>
      <patternFill patternType="solid">
        <fgColor rgb="FF104862"/>
        <bgColor rgb="FF0F476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>
        <color rgb="FF156082"/>
      </left>
      <right/>
      <top style="thin">
        <color rgb="FF156082"/>
      </top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9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9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9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9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7" fontId="0" fillId="6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  <cellStyle name="*unknown*" xfId="20" builtinId="8"/>
  </cellStyles>
  <dxfs count="29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C1E5F5"/>
        </patternFill>
      </fill>
    </dxf>
    <dxf>
      <fill>
        <patternFill patternType="solid">
          <fgColor rgb="FFC2F1C8"/>
        </patternFill>
      </fill>
    </dxf>
    <dxf>
      <fill>
        <patternFill patternType="solid">
          <fgColor rgb="FFD1D1D1"/>
        </patternFill>
      </fill>
    </dxf>
    <dxf>
      <fill>
        <patternFill patternType="solid">
          <fgColor rgb="FFF2CFEE"/>
        </patternFill>
      </fill>
    </dxf>
    <dxf>
      <fill>
        <patternFill patternType="solid">
          <fgColor rgb="FFFBE3D6"/>
        </patternFill>
      </fill>
    </dxf>
    <dxf>
      <fill>
        <patternFill patternType="solid">
          <fgColor rgb="FF467886"/>
        </patternFill>
      </fill>
    </dxf>
    <dxf>
      <fill>
        <patternFill patternType="solid">
          <fgColor rgb="FF78206E"/>
        </patternFill>
      </fill>
    </dxf>
    <dxf>
      <fill>
        <patternFill patternType="solid">
          <fgColor rgb="FF104862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64BE7B"/>
        </patternFill>
      </fill>
    </dxf>
    <dxf>
      <fill>
        <patternFill patternType="solid">
          <fgColor rgb="FF65BE7B"/>
        </patternFill>
      </fill>
    </dxf>
    <dxf>
      <fill>
        <patternFill patternType="solid">
          <fgColor rgb="FF66BF7B"/>
        </patternFill>
      </fill>
    </dxf>
    <dxf>
      <fill>
        <patternFill patternType="solid">
          <fgColor rgb="FF68BF7B"/>
        </patternFill>
      </fill>
    </dxf>
    <dxf>
      <fill>
        <patternFill patternType="solid">
          <fgColor rgb="FF69BF7B"/>
        </patternFill>
      </fill>
    </dxf>
    <dxf>
      <fill>
        <patternFill patternType="solid">
          <fgColor rgb="FF6CC07B"/>
        </patternFill>
      </fill>
    </dxf>
    <dxf>
      <fill>
        <patternFill patternType="solid">
          <fgColor rgb="FF6DC17B"/>
        </patternFill>
      </fill>
    </dxf>
    <dxf>
      <fill>
        <patternFill patternType="solid">
          <fgColor rgb="FF6EC17B"/>
        </patternFill>
      </fill>
    </dxf>
    <dxf>
      <fill>
        <patternFill patternType="solid">
          <fgColor rgb="FF78C47C"/>
        </patternFill>
      </fill>
    </dxf>
    <dxf>
      <fill>
        <patternFill patternType="solid">
          <fgColor rgb="FF7AC47C"/>
        </patternFill>
      </fill>
    </dxf>
    <dxf>
      <fill>
        <patternFill patternType="solid">
          <fgColor rgb="FF7EC67C"/>
        </patternFill>
      </fill>
    </dxf>
    <dxf>
      <fill>
        <patternFill patternType="solid">
          <fgColor rgb="FF87C87D"/>
        </patternFill>
      </fill>
    </dxf>
    <dxf>
      <fill>
        <patternFill patternType="solid">
          <fgColor rgb="FF8AC97D"/>
        </patternFill>
      </fill>
    </dxf>
    <dxf>
      <fill>
        <patternFill patternType="solid">
          <fgColor rgb="FF90CB7D"/>
        </patternFill>
      </fill>
    </dxf>
    <dxf>
      <fill>
        <patternFill patternType="solid">
          <fgColor rgb="FF91CB7D"/>
        </patternFill>
      </fill>
    </dxf>
    <dxf>
      <fill>
        <patternFill patternType="solid">
          <fgColor rgb="FF92CB7D"/>
        </patternFill>
      </fill>
    </dxf>
    <dxf>
      <fill>
        <patternFill patternType="solid">
          <fgColor rgb="FF93CB7D"/>
        </patternFill>
      </fill>
    </dxf>
    <dxf>
      <fill>
        <patternFill patternType="solid">
          <fgColor rgb="FF95CC7D"/>
        </patternFill>
      </fill>
    </dxf>
    <dxf>
      <fill>
        <patternFill patternType="solid">
          <fgColor rgb="FF98CD7E"/>
        </patternFill>
      </fill>
    </dxf>
    <dxf>
      <fill>
        <patternFill patternType="solid">
          <fgColor rgb="FF99CD7E"/>
        </patternFill>
      </fill>
    </dxf>
    <dxf>
      <fill>
        <patternFill patternType="solid">
          <fgColor rgb="FF9BCE7E"/>
        </patternFill>
      </fill>
    </dxf>
    <dxf>
      <fill>
        <patternFill patternType="solid">
          <fgColor rgb="FFA1D07E"/>
        </patternFill>
      </fill>
    </dxf>
    <dxf>
      <fill>
        <patternFill patternType="solid">
          <fgColor rgb="FFA5D17E"/>
        </patternFill>
      </fill>
    </dxf>
    <dxf>
      <fill>
        <patternFill patternType="solid">
          <fgColor rgb="FFA7D17E"/>
        </patternFill>
      </fill>
    </dxf>
    <dxf>
      <fill>
        <patternFill patternType="solid">
          <fgColor rgb="FFAAD27F"/>
        </patternFill>
      </fill>
    </dxf>
    <dxf>
      <fill>
        <patternFill patternType="solid">
          <fgColor rgb="FFACD37F"/>
        </patternFill>
      </fill>
    </dxf>
    <dxf>
      <fill>
        <patternFill patternType="solid">
          <fgColor rgb="FFAED37F"/>
        </patternFill>
      </fill>
    </dxf>
    <dxf>
      <fill>
        <patternFill patternType="solid">
          <fgColor rgb="FFB9D67F"/>
        </patternFill>
      </fill>
    </dxf>
    <dxf>
      <fill>
        <patternFill patternType="solid">
          <fgColor rgb="FFBAD780"/>
        </patternFill>
      </fill>
    </dxf>
    <dxf>
      <fill>
        <patternFill patternType="solid">
          <fgColor rgb="FFBED880"/>
        </patternFill>
      </fill>
    </dxf>
    <dxf>
      <fill>
        <patternFill patternType="solid">
          <fgColor rgb="FFC4DA80"/>
        </patternFill>
      </fill>
    </dxf>
    <dxf>
      <fill>
        <patternFill patternType="solid">
          <fgColor rgb="FFC7DA80"/>
        </patternFill>
      </fill>
    </dxf>
    <dxf>
      <fill>
        <patternFill patternType="solid">
          <fgColor rgb="FFCBDC81"/>
        </patternFill>
      </fill>
    </dxf>
    <dxf>
      <fill>
        <patternFill patternType="solid">
          <fgColor rgb="FFD0DD81"/>
        </patternFill>
      </fill>
    </dxf>
    <dxf>
      <fill>
        <patternFill patternType="solid">
          <fgColor rgb="FFD7DF81"/>
        </patternFill>
      </fill>
    </dxf>
    <dxf>
      <fill>
        <patternFill patternType="solid">
          <fgColor rgb="FFD9E081"/>
        </patternFill>
      </fill>
    </dxf>
    <dxf>
      <fill>
        <patternFill patternType="solid">
          <fgColor rgb="FFDBE081"/>
        </patternFill>
      </fill>
    </dxf>
    <dxf>
      <fill>
        <patternFill patternType="solid">
          <fgColor rgb="FFDCE182"/>
        </patternFill>
      </fill>
    </dxf>
    <dxf>
      <fill>
        <patternFill patternType="solid">
          <fgColor rgb="FFE3E382"/>
        </patternFill>
      </fill>
    </dxf>
    <dxf>
      <fill>
        <patternFill patternType="solid">
          <fgColor rgb="FFE5E382"/>
        </patternFill>
      </fill>
    </dxf>
    <dxf>
      <fill>
        <patternFill patternType="solid">
          <fgColor rgb="FFEAE582"/>
        </patternFill>
      </fill>
    </dxf>
    <dxf>
      <fill>
        <patternFill patternType="solid">
          <fgColor rgb="FFEDE683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9E983"/>
        </patternFill>
      </fill>
    </dxf>
    <dxf>
      <fill>
        <patternFill patternType="solid">
          <fgColor rgb="FFFB9674"/>
        </patternFill>
      </fill>
    </dxf>
    <dxf>
      <fill>
        <patternFill patternType="solid">
          <fgColor rgb="FFFCA477"/>
        </patternFill>
      </fill>
    </dxf>
    <dxf>
      <fill>
        <patternFill patternType="solid">
          <fgColor rgb="FFFCA677"/>
        </patternFill>
      </fill>
    </dxf>
    <dxf>
      <fill>
        <patternFill patternType="solid">
          <fgColor rgb="FFFCA777"/>
        </patternFill>
      </fill>
    </dxf>
    <dxf>
      <fill>
        <patternFill patternType="solid">
          <fgColor rgb="FFFCA877"/>
        </patternFill>
      </fill>
    </dxf>
    <dxf>
      <fill>
        <patternFill patternType="solid">
          <fgColor rgb="FFFCAA78"/>
        </patternFill>
      </fill>
    </dxf>
    <dxf>
      <fill>
        <patternFill patternType="solid">
          <fgColor rgb="FFFCAB78"/>
        </patternFill>
      </fill>
    </dxf>
    <dxf>
      <fill>
        <patternFill patternType="solid">
          <fgColor rgb="FFFCAD79"/>
        </patternFill>
      </fill>
    </dxf>
    <dxf>
      <fill>
        <patternFill patternType="solid">
          <fgColor rgb="FFFCAF79"/>
        </patternFill>
      </fill>
    </dxf>
    <dxf>
      <fill>
        <patternFill patternType="solid">
          <fgColor rgb="FFFCB179"/>
        </patternFill>
      </fill>
    </dxf>
    <dxf>
      <fill>
        <patternFill patternType="solid">
          <fgColor rgb="FFFCB279"/>
        </patternFill>
      </fill>
    </dxf>
    <dxf>
      <fill>
        <patternFill patternType="solid">
          <fgColor rgb="FFFCB37A"/>
        </patternFill>
      </fill>
    </dxf>
    <dxf>
      <fill>
        <patternFill patternType="solid">
          <fgColor rgb="FFFDB67A"/>
        </patternFill>
      </fill>
    </dxf>
    <dxf>
      <fill>
        <patternFill patternType="solid">
          <fgColor rgb="FFFDB77A"/>
        </patternFill>
      </fill>
    </dxf>
    <dxf>
      <fill>
        <patternFill patternType="solid">
          <fgColor rgb="FFFDB97B"/>
        </patternFill>
      </fill>
    </dxf>
    <dxf>
      <fill>
        <patternFill patternType="solid">
          <fgColor rgb="FFFDBA7B"/>
        </patternFill>
      </fill>
    </dxf>
    <dxf>
      <fill>
        <patternFill patternType="solid">
          <fgColor rgb="FFFDBE7C"/>
        </patternFill>
      </fill>
    </dxf>
    <dxf>
      <fill>
        <patternFill patternType="solid">
          <fgColor rgb="FFFDC17C"/>
        </patternFill>
      </fill>
    </dxf>
    <dxf>
      <fill>
        <patternFill patternType="solid">
          <fgColor rgb="FFFDC27D"/>
        </patternFill>
      </fill>
    </dxf>
    <dxf>
      <fill>
        <patternFill patternType="solid">
          <fgColor rgb="FFFDC47D"/>
        </patternFill>
      </fill>
    </dxf>
    <dxf>
      <fill>
        <patternFill patternType="solid">
          <fgColor rgb="FFFDC67D"/>
        </patternFill>
      </fill>
    </dxf>
    <dxf>
      <fill>
        <patternFill patternType="solid">
          <fgColor rgb="FFFEC77D"/>
        </patternFill>
      </fill>
    </dxf>
    <dxf>
      <fill>
        <patternFill patternType="solid">
          <fgColor rgb="FFFEC77E"/>
        </patternFill>
      </fill>
    </dxf>
    <dxf>
      <fill>
        <patternFill patternType="solid">
          <fgColor rgb="FFFEC97E"/>
        </patternFill>
      </fill>
    </dxf>
    <dxf>
      <fill>
        <patternFill patternType="solid">
          <fgColor rgb="FFFECA7E"/>
        </patternFill>
      </fill>
    </dxf>
    <dxf>
      <fill>
        <patternFill patternType="solid">
          <fgColor rgb="FFFECB7E"/>
        </patternFill>
      </fill>
    </dxf>
    <dxf>
      <fill>
        <patternFill patternType="solid">
          <fgColor rgb="FFFECF7F"/>
        </patternFill>
      </fill>
    </dxf>
    <dxf>
      <fill>
        <patternFill patternType="solid">
          <fgColor rgb="FFFED07F"/>
        </patternFill>
      </fill>
    </dxf>
    <dxf>
      <fill>
        <patternFill patternType="solid">
          <fgColor rgb="FFFED17F"/>
        </patternFill>
      </fill>
    </dxf>
    <dxf>
      <fill>
        <patternFill patternType="solid">
          <fgColor rgb="FFFED380"/>
        </patternFill>
      </fill>
    </dxf>
    <dxf>
      <fill>
        <patternFill patternType="solid">
          <fgColor rgb="FFFED480"/>
        </patternFill>
      </fill>
    </dxf>
    <dxf>
      <fill>
        <patternFill patternType="solid">
          <fgColor rgb="FFFED580"/>
        </patternFill>
      </fill>
    </dxf>
    <dxf>
      <fill>
        <patternFill patternType="solid">
          <fgColor rgb="FFFED680"/>
        </patternFill>
      </fill>
    </dxf>
    <dxf>
      <fill>
        <patternFill patternType="solid">
          <fgColor rgb="FFFED780"/>
        </patternFill>
      </fill>
    </dxf>
    <dxf>
      <fill>
        <patternFill patternType="solid">
          <fgColor rgb="FFFED881"/>
        </patternFill>
      </fill>
    </dxf>
    <dxf>
      <fill>
        <patternFill patternType="solid">
          <fgColor rgb="FFFED981"/>
        </patternFill>
      </fill>
    </dxf>
    <dxf>
      <fill>
        <patternFill patternType="solid">
          <fgColor rgb="FFFEEA83"/>
        </patternFill>
      </fill>
    </dxf>
    <dxf>
      <fill>
        <patternFill patternType="solid">
          <fgColor rgb="FFFFD981"/>
        </patternFill>
      </fill>
    </dxf>
    <dxf>
      <fill>
        <patternFill patternType="solid">
          <fgColor rgb="FFFFDC81"/>
        </patternFill>
      </fill>
    </dxf>
    <dxf>
      <fill>
        <patternFill patternType="solid">
          <fgColor rgb="FFFFDC82"/>
        </patternFill>
      </fill>
    </dxf>
    <dxf>
      <fill>
        <patternFill patternType="solid">
          <fgColor rgb="FFFFDD82"/>
        </patternFill>
      </fill>
    </dxf>
    <dxf>
      <fill>
        <patternFill patternType="solid">
          <fgColor rgb="FFFFDE82"/>
        </patternFill>
      </fill>
    </dxf>
    <dxf>
      <fill>
        <patternFill patternType="solid">
          <fgColor rgb="FFFFDF82"/>
        </patternFill>
      </fill>
    </dxf>
    <dxf>
      <fill>
        <patternFill patternType="solid">
          <fgColor rgb="FFFFE082"/>
        </patternFill>
      </fill>
    </dxf>
    <dxf>
      <fill>
        <patternFill patternType="solid">
          <fgColor rgb="FFFFE182"/>
        </patternFill>
      </fill>
    </dxf>
    <dxf>
      <fill>
        <patternFill patternType="solid">
          <fgColor rgb="FFFFE183"/>
        </patternFill>
      </fill>
    </dxf>
    <dxf>
      <fill>
        <patternFill patternType="solid">
          <fgColor rgb="FFFFE283"/>
        </patternFill>
      </fill>
    </dxf>
    <dxf>
      <fill>
        <patternFill patternType="solid">
          <fgColor rgb="FFFFE383"/>
        </patternFill>
      </fill>
    </dxf>
    <dxf>
      <fill>
        <patternFill patternType="solid">
          <fgColor rgb="FFFFE483"/>
        </patternFill>
      </fill>
    </dxf>
    <dxf>
      <fill>
        <patternFill patternType="solid">
          <fgColor rgb="FFFFE583"/>
        </patternFill>
      </fill>
    </dxf>
    <dxf>
      <fill>
        <patternFill patternType="solid">
          <fgColor rgb="FFFFE683"/>
        </patternFill>
      </fill>
    </dxf>
    <dxf>
      <fill>
        <patternFill patternType="solid">
          <fgColor rgb="FFFFE784"/>
        </patternFill>
      </fill>
    </dxf>
    <dxf>
      <fill>
        <patternFill patternType="solid">
          <fgColor rgb="FFFFE884"/>
        </patternFill>
      </fill>
    </dxf>
    <dxf>
      <fill>
        <patternFill patternType="solid">
          <fgColor rgb="FFFFE984"/>
        </patternFill>
      </fill>
    </dxf>
    <dxf>
      <fill>
        <patternFill patternType="solid">
          <fgColor rgb="FFFFEA84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67BF7B"/>
        </patternFill>
      </fill>
    </dxf>
    <dxf>
      <fill>
        <patternFill patternType="solid">
          <fgColor rgb="FF6AC07B"/>
        </patternFill>
      </fill>
    </dxf>
    <dxf>
      <fill>
        <patternFill patternType="solid">
          <fgColor rgb="FF71C27B"/>
        </patternFill>
      </fill>
    </dxf>
    <dxf>
      <fill>
        <patternFill patternType="solid">
          <fgColor rgb="FF77C37C"/>
        </patternFill>
      </fill>
    </dxf>
    <dxf>
      <fill>
        <patternFill patternType="solid">
          <fgColor rgb="FF80C67C"/>
        </patternFill>
      </fill>
    </dxf>
    <dxf>
      <fill>
        <patternFill patternType="solid">
          <fgColor rgb="FF85C77C"/>
        </patternFill>
      </fill>
    </dxf>
    <dxf>
      <fill>
        <patternFill patternType="solid">
          <fgColor rgb="FF86C87D"/>
        </patternFill>
      </fill>
    </dxf>
    <dxf>
      <fill>
        <patternFill patternType="solid">
          <fgColor rgb="FF8ECA7D"/>
        </patternFill>
      </fill>
    </dxf>
    <dxf>
      <fill>
        <patternFill patternType="solid">
          <fgColor rgb="FF93CC7D"/>
        </patternFill>
      </fill>
    </dxf>
    <dxf>
      <fill>
        <patternFill patternType="solid">
          <fgColor rgb="FF96CC7D"/>
        </patternFill>
      </fill>
    </dxf>
    <dxf>
      <fill>
        <patternFill patternType="solid">
          <fgColor rgb="FF9ACD7E"/>
        </patternFill>
      </fill>
    </dxf>
    <dxf>
      <fill>
        <patternFill patternType="solid">
          <fgColor rgb="FF9CCE7E"/>
        </patternFill>
      </fill>
    </dxf>
    <dxf>
      <fill>
        <patternFill patternType="solid">
          <fgColor rgb="FF9DCE7E"/>
        </patternFill>
      </fill>
    </dxf>
    <dxf>
      <fill>
        <patternFill patternType="solid">
          <fgColor rgb="FF9ECF7E"/>
        </patternFill>
      </fill>
    </dxf>
    <dxf>
      <fill>
        <patternFill patternType="solid">
          <fgColor rgb="FF9FCF7E"/>
        </patternFill>
      </fill>
    </dxf>
    <dxf>
      <fill>
        <patternFill patternType="solid">
          <fgColor rgb="FFA1CF7E"/>
        </patternFill>
      </fill>
    </dxf>
    <dxf>
      <fill>
        <patternFill patternType="solid">
          <fgColor rgb="FFA3D07E"/>
        </patternFill>
      </fill>
    </dxf>
    <dxf>
      <fill>
        <patternFill patternType="solid">
          <fgColor rgb="FFA4D07E"/>
        </patternFill>
      </fill>
    </dxf>
    <dxf>
      <fill>
        <patternFill patternType="solid">
          <fgColor rgb="FFA9D27F"/>
        </patternFill>
      </fill>
    </dxf>
    <dxf>
      <fill>
        <patternFill patternType="solid">
          <fgColor rgb="FFABD37F"/>
        </patternFill>
      </fill>
    </dxf>
    <dxf>
      <fill>
        <patternFill patternType="solid">
          <fgColor rgb="FFB1D47F"/>
        </patternFill>
      </fill>
    </dxf>
    <dxf>
      <fill>
        <patternFill patternType="solid">
          <fgColor rgb="FFB2D47F"/>
        </patternFill>
      </fill>
    </dxf>
    <dxf>
      <fill>
        <patternFill patternType="solid">
          <fgColor rgb="FFB3D57F"/>
        </patternFill>
      </fill>
    </dxf>
    <dxf>
      <fill>
        <patternFill patternType="solid">
          <fgColor rgb="FFB4D57F"/>
        </patternFill>
      </fill>
    </dxf>
    <dxf>
      <fill>
        <patternFill patternType="solid">
          <fgColor rgb="FFB5D57F"/>
        </patternFill>
      </fill>
    </dxf>
    <dxf>
      <fill>
        <patternFill patternType="solid">
          <fgColor rgb="FFB7D67F"/>
        </patternFill>
      </fill>
    </dxf>
    <dxf>
      <fill>
        <patternFill patternType="solid">
          <fgColor rgb="FFBBD780"/>
        </patternFill>
      </fill>
    </dxf>
    <dxf>
      <fill>
        <patternFill patternType="solid">
          <fgColor rgb="FFC1D980"/>
        </patternFill>
      </fill>
    </dxf>
    <dxf>
      <fill>
        <patternFill patternType="solid">
          <fgColor rgb="FFC2D980"/>
        </patternFill>
      </fill>
    </dxf>
    <dxf>
      <fill>
        <patternFill patternType="solid">
          <fgColor rgb="FFC3D980"/>
        </patternFill>
      </fill>
    </dxf>
    <dxf>
      <fill>
        <patternFill patternType="solid">
          <fgColor rgb="FFC5DA80"/>
        </patternFill>
      </fill>
    </dxf>
    <dxf>
      <fill>
        <patternFill patternType="solid">
          <fgColor rgb="FFCADB80"/>
        </patternFill>
      </fill>
    </dxf>
    <dxf>
      <fill>
        <patternFill patternType="solid">
          <fgColor rgb="FFCCDC81"/>
        </patternFill>
      </fill>
    </dxf>
    <dxf>
      <fill>
        <patternFill patternType="solid">
          <fgColor rgb="FFCDDC81"/>
        </patternFill>
      </fill>
    </dxf>
    <dxf>
      <fill>
        <patternFill patternType="solid">
          <fgColor rgb="FFCEDC81"/>
        </patternFill>
      </fill>
    </dxf>
    <dxf>
      <fill>
        <patternFill patternType="solid">
          <fgColor rgb="FFCFDD81"/>
        </patternFill>
      </fill>
    </dxf>
    <dxf>
      <fill>
        <patternFill patternType="solid">
          <fgColor rgb="FFD3DE81"/>
        </patternFill>
      </fill>
    </dxf>
    <dxf>
      <fill>
        <patternFill patternType="solid">
          <fgColor rgb="FFD5DE81"/>
        </patternFill>
      </fill>
    </dxf>
    <dxf>
      <fill>
        <patternFill patternType="solid">
          <fgColor rgb="FFD8DF81"/>
        </patternFill>
      </fill>
    </dxf>
    <dxf>
      <fill>
        <patternFill patternType="solid">
          <fgColor rgb="FFDAE081"/>
        </patternFill>
      </fill>
    </dxf>
    <dxf>
      <fill>
        <patternFill patternType="solid">
          <fgColor rgb="FFDCE081"/>
        </patternFill>
      </fill>
    </dxf>
    <dxf>
      <fill>
        <patternFill patternType="solid">
          <fgColor rgb="FFDDE182"/>
        </patternFill>
      </fill>
    </dxf>
    <dxf>
      <fill>
        <patternFill patternType="solid">
          <fgColor rgb="FFDEE182"/>
        </patternFill>
      </fill>
    </dxf>
    <dxf>
      <fill>
        <patternFill patternType="solid">
          <fgColor rgb="FFE1E282"/>
        </patternFill>
      </fill>
    </dxf>
    <dxf>
      <fill>
        <patternFill patternType="solid">
          <fgColor rgb="FFE2E282"/>
        </patternFill>
      </fill>
    </dxf>
    <dxf>
      <fill>
        <patternFill patternType="solid">
          <fgColor rgb="FFE4E382"/>
        </patternFill>
      </fill>
    </dxf>
    <dxf>
      <fill>
        <patternFill patternType="solid">
          <fgColor rgb="FFE8E482"/>
        </patternFill>
      </fill>
    </dxf>
    <dxf>
      <fill>
        <patternFill patternType="solid">
          <fgColor rgb="FFEBE582"/>
        </patternFill>
      </fill>
    </dxf>
    <dxf>
      <fill>
        <patternFill patternType="solid">
          <fgColor rgb="FFECE582"/>
        </patternFill>
      </fill>
    </dxf>
    <dxf>
      <fill>
        <patternFill patternType="solid">
          <fgColor rgb="FFEEE683"/>
        </patternFill>
      </fill>
    </dxf>
    <dxf>
      <fill>
        <patternFill patternType="solid">
          <fgColor rgb="FFEFE683"/>
        </patternFill>
      </fill>
    </dxf>
    <dxf>
      <fill>
        <patternFill patternType="solid">
          <fgColor rgb="FFF3E783"/>
        </patternFill>
      </fill>
    </dxf>
    <dxf>
      <fill>
        <patternFill patternType="solid">
          <fgColor rgb="FFF7E883"/>
        </patternFill>
      </fill>
    </dxf>
    <dxf>
      <fill>
        <patternFill patternType="solid">
          <fgColor rgb="FFFAE983"/>
        </patternFill>
      </fill>
    </dxf>
    <dxf>
      <fill>
        <patternFill patternType="solid">
          <fgColor rgb="FFFFDA81"/>
        </patternFill>
      </fill>
    </dxf>
    <dxf>
      <fill>
        <patternFill patternType="solid">
          <fgColor rgb="FFFFDB81"/>
        </patternFill>
      </fill>
    </dxf>
    <dxf>
      <fill>
        <patternFill patternType="solid">
          <fgColor rgb="FFFFE684"/>
        </patternFill>
      </fill>
    </dxf>
    <dxf>
      <fill>
        <patternFill patternType="solid">
          <fgColor rgb="FF66BE7B"/>
        </patternFill>
      </fill>
    </dxf>
    <dxf>
      <fill>
        <patternFill patternType="solid">
          <fgColor rgb="FF6BC07B"/>
        </patternFill>
      </fill>
    </dxf>
    <dxf>
      <fill>
        <patternFill patternType="solid">
          <fgColor rgb="FF7BC57C"/>
        </patternFill>
      </fill>
    </dxf>
    <dxf>
      <fill>
        <patternFill patternType="solid">
          <fgColor rgb="FF7CC57C"/>
        </patternFill>
      </fill>
    </dxf>
    <dxf>
      <fill>
        <patternFill patternType="solid">
          <fgColor rgb="FF7DC57C"/>
        </patternFill>
      </fill>
    </dxf>
    <dxf>
      <fill>
        <patternFill patternType="solid">
          <fgColor rgb="FF82C67C"/>
        </patternFill>
      </fill>
    </dxf>
    <dxf>
      <fill>
        <patternFill patternType="solid">
          <fgColor rgb="FF82C77C"/>
        </patternFill>
      </fill>
    </dxf>
    <dxf>
      <fill>
        <patternFill patternType="solid">
          <fgColor rgb="FF83C77C"/>
        </patternFill>
      </fill>
    </dxf>
    <dxf>
      <fill>
        <patternFill patternType="solid">
          <fgColor rgb="FF84C77C"/>
        </patternFill>
      </fill>
    </dxf>
    <dxf>
      <fill>
        <patternFill patternType="solid">
          <fgColor rgb="FF85C87D"/>
        </patternFill>
      </fill>
    </dxf>
    <dxf>
      <fill>
        <patternFill patternType="solid">
          <fgColor rgb="FF88C87D"/>
        </patternFill>
      </fill>
    </dxf>
    <dxf>
      <fill>
        <patternFill patternType="solid">
          <fgColor rgb="FF8CC97D"/>
        </patternFill>
      </fill>
    </dxf>
    <dxf>
      <fill>
        <patternFill patternType="solid">
          <fgColor rgb="FF8DCA7D"/>
        </patternFill>
      </fill>
    </dxf>
    <dxf>
      <fill>
        <patternFill patternType="solid">
          <fgColor rgb="FF8FCA7D"/>
        </patternFill>
      </fill>
    </dxf>
    <dxf>
      <fill>
        <patternFill patternType="solid">
          <fgColor rgb="FFA2D07E"/>
        </patternFill>
      </fill>
    </dxf>
    <dxf>
      <fill>
        <patternFill patternType="solid">
          <fgColor rgb="FFA6D17E"/>
        </patternFill>
      </fill>
    </dxf>
    <dxf>
      <fill>
        <patternFill patternType="solid">
          <fgColor rgb="FFB0D47F"/>
        </patternFill>
      </fill>
    </dxf>
    <dxf>
      <fill>
        <patternFill patternType="solid">
          <fgColor rgb="FFBDD880"/>
        </patternFill>
      </fill>
    </dxf>
    <dxf>
      <fill>
        <patternFill patternType="solid">
          <fgColor rgb="FFC0D980"/>
        </patternFill>
      </fill>
    </dxf>
    <dxf>
      <fill>
        <patternFill patternType="solid">
          <fgColor rgb="FFC8DB80"/>
        </patternFill>
      </fill>
    </dxf>
    <dxf>
      <fill>
        <patternFill patternType="solid">
          <fgColor rgb="FFCEDD81"/>
        </patternFill>
      </fill>
    </dxf>
    <dxf>
      <fill>
        <patternFill patternType="solid">
          <fgColor rgb="FFD1DD81"/>
        </patternFill>
      </fill>
    </dxf>
    <dxf>
      <fill>
        <patternFill patternType="solid">
          <fgColor rgb="FFE6E382"/>
        </patternFill>
      </fill>
    </dxf>
    <dxf>
      <fill>
        <patternFill patternType="solid">
          <fgColor rgb="FFF6E883"/>
        </patternFill>
      </fill>
    </dxf>
    <dxf>
      <fill>
        <patternFill patternType="solid">
          <fgColor rgb="FFFB9B75"/>
        </patternFill>
      </fill>
    </dxf>
    <dxf>
      <fill>
        <patternFill patternType="solid">
          <fgColor rgb="FFFCAC78"/>
        </patternFill>
      </fill>
    </dxf>
    <dxf>
      <fill>
        <patternFill patternType="solid">
          <fgColor rgb="FFFCB079"/>
        </patternFill>
      </fill>
    </dxf>
    <dxf>
      <fill>
        <patternFill patternType="solid">
          <fgColor rgb="FFFDB57A"/>
        </patternFill>
      </fill>
    </dxf>
    <dxf>
      <fill>
        <patternFill patternType="solid">
          <fgColor rgb="FFFDB87B"/>
        </patternFill>
      </fill>
    </dxf>
    <dxf>
      <fill>
        <patternFill patternType="solid">
          <fgColor rgb="FFFDBD7C"/>
        </patternFill>
      </fill>
    </dxf>
    <dxf>
      <fill>
        <patternFill patternType="solid">
          <fgColor rgb="FFFDBF7C"/>
        </patternFill>
      </fill>
    </dxf>
    <dxf>
      <fill>
        <patternFill patternType="solid">
          <fgColor rgb="FFFDC07C"/>
        </patternFill>
      </fill>
    </dxf>
    <dxf>
      <fill>
        <patternFill patternType="solid">
          <fgColor rgb="FFFDC37D"/>
        </patternFill>
      </fill>
    </dxf>
    <dxf>
      <fill>
        <patternFill patternType="solid">
          <fgColor rgb="FFFECC7F"/>
        </patternFill>
      </fill>
    </dxf>
    <dxf>
      <fill>
        <patternFill patternType="solid">
          <fgColor rgb="FFFECE7F"/>
        </patternFill>
      </fill>
    </dxf>
    <dxf>
      <fill>
        <patternFill patternType="solid">
          <fgColor rgb="FFFED280"/>
        </patternFill>
      </fill>
    </dxf>
    <dxf>
      <fill>
        <patternFill patternType="solid">
          <fgColor rgb="FFFED781"/>
        </patternFill>
      </fill>
    </dxf>
    <dxf>
      <fill>
        <patternFill patternType="solid">
          <fgColor rgb="FF73C27B"/>
        </patternFill>
      </fill>
    </dxf>
    <dxf>
      <fill>
        <patternFill patternType="solid">
          <fgColor rgb="FF74C27B"/>
        </patternFill>
      </fill>
    </dxf>
    <dxf>
      <fill>
        <patternFill patternType="solid">
          <fgColor rgb="FF75C37C"/>
        </patternFill>
      </fill>
    </dxf>
    <dxf>
      <fill>
        <patternFill patternType="solid">
          <fgColor rgb="FF76C37C"/>
        </patternFill>
      </fill>
    </dxf>
    <dxf>
      <fill>
        <patternFill patternType="solid">
          <fgColor rgb="FF79C47C"/>
        </patternFill>
      </fill>
    </dxf>
    <dxf>
      <fill>
        <patternFill patternType="solid">
          <fgColor rgb="FF7EC57C"/>
        </patternFill>
      </fill>
    </dxf>
    <dxf>
      <fill>
        <patternFill patternType="solid">
          <fgColor rgb="FF89C97D"/>
        </patternFill>
      </fill>
    </dxf>
    <dxf>
      <fill>
        <patternFill patternType="solid">
          <fgColor rgb="FF8CCA7D"/>
        </patternFill>
      </fill>
    </dxf>
    <dxf>
      <fill>
        <patternFill patternType="solid">
          <fgColor rgb="FF94CC7D"/>
        </patternFill>
      </fill>
    </dxf>
    <dxf>
      <fill>
        <patternFill patternType="solid">
          <fgColor rgb="FF97CD7E"/>
        </patternFill>
      </fill>
    </dxf>
    <dxf>
      <fill>
        <patternFill patternType="solid">
          <fgColor rgb="FF9ACE7E"/>
        </patternFill>
      </fill>
    </dxf>
    <dxf>
      <fill>
        <patternFill patternType="solid">
          <fgColor rgb="FFA0CF7E"/>
        </patternFill>
      </fill>
    </dxf>
    <dxf>
      <fill>
        <patternFill patternType="solid">
          <fgColor rgb="FFA8D27F"/>
        </patternFill>
      </fill>
    </dxf>
    <dxf>
      <fill>
        <patternFill patternType="solid">
          <fgColor rgb="FFABD27F"/>
        </patternFill>
      </fill>
    </dxf>
    <dxf>
      <fill>
        <patternFill patternType="solid">
          <fgColor rgb="FFADD37F"/>
        </patternFill>
      </fill>
    </dxf>
    <dxf>
      <fill>
        <patternFill patternType="solid">
          <fgColor rgb="FFAFD37F"/>
        </patternFill>
      </fill>
    </dxf>
    <dxf>
      <fill>
        <patternFill patternType="solid">
          <fgColor rgb="FFAFD47F"/>
        </patternFill>
      </fill>
    </dxf>
    <dxf>
      <fill>
        <patternFill patternType="solid">
          <fgColor rgb="FFB6D67F"/>
        </patternFill>
      </fill>
    </dxf>
    <dxf>
      <fill>
        <patternFill patternType="solid">
          <fgColor rgb="FFB9D780"/>
        </patternFill>
      </fill>
    </dxf>
    <dxf>
      <fill>
        <patternFill patternType="solid">
          <fgColor rgb="FFBCD780"/>
        </patternFill>
      </fill>
    </dxf>
    <dxf>
      <fill>
        <patternFill patternType="solid">
          <fgColor rgb="FFC7DB80"/>
        </patternFill>
      </fill>
    </dxf>
    <dxf>
      <fill>
        <patternFill patternType="solid">
          <fgColor rgb="FFC9DB80"/>
        </patternFill>
      </fill>
    </dxf>
    <dxf>
      <fill>
        <patternFill patternType="solid">
          <fgColor rgb="FFD2DE81"/>
        </patternFill>
      </fill>
    </dxf>
    <dxf>
      <fill>
        <patternFill patternType="solid">
          <fgColor rgb="FFD5DF81"/>
        </patternFill>
      </fill>
    </dxf>
    <dxf>
      <fill>
        <patternFill patternType="solid">
          <fgColor rgb="FFD6DF81"/>
        </patternFill>
      </fill>
    </dxf>
    <dxf>
      <fill>
        <patternFill patternType="solid">
          <fgColor rgb="FFEDE582"/>
        </patternFill>
      </fill>
    </dxf>
    <dxf>
      <fill>
        <patternFill patternType="solid">
          <fgColor rgb="FFF5E883"/>
        </patternFill>
      </fill>
    </dxf>
    <dxf>
      <fill>
        <patternFill patternType="solid">
          <fgColor rgb="FFF8E983"/>
        </patternFill>
      </fill>
    </dxf>
    <dxf>
      <fill>
        <patternFill patternType="solid">
          <fgColor rgb="FFFB8F73"/>
        </patternFill>
      </fill>
    </dxf>
    <dxf>
      <fill>
        <patternFill patternType="solid">
          <fgColor rgb="FFFB9874"/>
        </patternFill>
      </fill>
    </dxf>
    <dxf>
      <fill>
        <patternFill patternType="solid">
          <fgColor rgb="FFFCAE79"/>
        </patternFill>
      </fill>
    </dxf>
    <dxf>
      <fill>
        <patternFill patternType="solid">
          <fgColor rgb="FFFCEA83"/>
        </patternFill>
      </fill>
    </dxf>
    <dxf>
      <fill>
        <patternFill patternType="solid">
          <fgColor rgb="FFFDBB7B"/>
        </patternFill>
      </fill>
    </dxf>
    <dxf>
      <fill>
        <patternFill patternType="solid">
          <fgColor rgb="FFFDC57D"/>
        </patternFill>
      </fill>
    </dxf>
    <dxf>
      <fill>
        <patternFill patternType="solid">
          <fgColor rgb="FFFDEA83"/>
        </patternFill>
      </fill>
    </dxf>
    <dxf>
      <fill>
        <patternFill patternType="solid">
          <fgColor rgb="FFFEC87E"/>
        </patternFill>
      </fill>
    </dxf>
    <dxf>
      <fill>
        <patternFill patternType="solid">
          <fgColor rgb="FFFECD7F"/>
        </patternFill>
      </fill>
    </dxf>
    <dxf>
      <fill>
        <patternFill patternType="solid">
          <fgColor rgb="FFB8D67F"/>
        </patternFill>
      </fill>
    </dxf>
    <dxf>
      <fill>
        <patternFill patternType="solid">
          <fgColor rgb="FFE0E282"/>
        </patternFill>
      </fill>
    </dxf>
    <dxf>
      <fill>
        <patternFill patternType="solid">
          <fgColor rgb="FFF9706D"/>
        </patternFill>
      </fill>
    </dxf>
    <dxf>
      <fill>
        <patternFill patternType="solid">
          <fgColor rgb="FFF9746E"/>
        </patternFill>
      </fill>
    </dxf>
    <dxf>
      <fill>
        <patternFill patternType="solid">
          <fgColor rgb="FFF9766E"/>
        </patternFill>
      </fill>
    </dxf>
    <dxf>
      <fill>
        <patternFill patternType="solid">
          <fgColor rgb="FFF9786E"/>
        </patternFill>
      </fill>
    </dxf>
    <dxf>
      <fill>
        <patternFill patternType="solid">
          <fgColor rgb="FFF97C6F"/>
        </patternFill>
      </fill>
    </dxf>
    <dxf>
      <fill>
        <patternFill patternType="solid">
          <fgColor rgb="FFFA7F70"/>
        </patternFill>
      </fill>
    </dxf>
    <dxf>
      <fill>
        <patternFill patternType="solid">
          <fgColor rgb="FFFA8170"/>
        </patternFill>
      </fill>
    </dxf>
    <dxf>
      <fill>
        <patternFill patternType="solid">
          <fgColor rgb="FFFA8370"/>
        </patternFill>
      </fill>
    </dxf>
    <dxf>
      <fill>
        <patternFill patternType="solid">
          <fgColor rgb="FFFA8771"/>
        </patternFill>
      </fill>
    </dxf>
    <dxf>
      <fill>
        <patternFill patternType="solid">
          <fgColor rgb="FFFA8871"/>
        </patternFill>
      </fill>
    </dxf>
    <dxf>
      <fill>
        <patternFill patternType="solid">
          <fgColor rgb="FFFA8A72"/>
        </patternFill>
      </fill>
    </dxf>
    <dxf>
      <fill>
        <patternFill patternType="solid">
          <fgColor rgb="FFFA8B72"/>
        </patternFill>
      </fill>
    </dxf>
    <dxf>
      <fill>
        <patternFill patternType="solid">
          <fgColor rgb="FFFA8C72"/>
        </patternFill>
      </fill>
    </dxf>
    <dxf>
      <fill>
        <patternFill patternType="solid">
          <fgColor rgb="FFFA8D72"/>
        </patternFill>
      </fill>
    </dxf>
    <dxf>
      <fill>
        <patternFill patternType="solid">
          <fgColor rgb="FFFA8E72"/>
        </patternFill>
      </fill>
    </dxf>
    <dxf>
      <fill>
        <patternFill patternType="solid">
          <fgColor rgb="FFFA8E73"/>
        </patternFill>
      </fill>
    </dxf>
    <dxf>
      <fill>
        <patternFill patternType="solid">
          <fgColor rgb="FFFB9073"/>
        </patternFill>
      </fill>
    </dxf>
    <dxf>
      <fill>
        <patternFill patternType="solid">
          <fgColor rgb="FFFB9173"/>
        </patternFill>
      </fill>
    </dxf>
    <dxf>
      <fill>
        <patternFill patternType="solid">
          <fgColor rgb="FFFB9273"/>
        </patternFill>
      </fill>
    </dxf>
    <dxf>
      <fill>
        <patternFill patternType="solid">
          <fgColor rgb="FFFB9373"/>
        </patternFill>
      </fill>
    </dxf>
    <dxf>
      <fill>
        <patternFill patternType="solid">
          <fgColor rgb="FFFB9374"/>
        </patternFill>
      </fill>
    </dxf>
    <dxf>
      <fill>
        <patternFill patternType="solid">
          <fgColor rgb="FFFB9474"/>
        </patternFill>
      </fill>
    </dxf>
    <dxf>
      <fill>
        <patternFill patternType="solid">
          <fgColor rgb="FFFB9574"/>
        </patternFill>
      </fill>
    </dxf>
    <dxf>
      <fill>
        <patternFill patternType="solid">
          <fgColor rgb="FFFB9875"/>
        </patternFill>
      </fill>
    </dxf>
    <dxf>
      <fill>
        <patternFill patternType="solid">
          <fgColor rgb="FFFB9A75"/>
        </patternFill>
      </fill>
    </dxf>
    <dxf>
      <fill>
        <patternFill patternType="solid">
          <fgColor rgb="FFFB9C75"/>
        </patternFill>
      </fill>
    </dxf>
    <dxf>
      <fill>
        <patternFill patternType="solid">
          <fgColor rgb="FFFB9D75"/>
        </patternFill>
      </fill>
    </dxf>
    <dxf>
      <fill>
        <patternFill patternType="solid">
          <fgColor rgb="FFFB9F76"/>
        </patternFill>
      </fill>
    </dxf>
    <dxf>
      <fill>
        <patternFill patternType="solid">
          <fgColor rgb="FFFBA076"/>
        </patternFill>
      </fill>
    </dxf>
    <dxf>
      <fill>
        <patternFill patternType="solid">
          <fgColor rgb="FFFCA276"/>
        </patternFill>
      </fill>
    </dxf>
    <dxf>
      <fill>
        <patternFill patternType="solid">
          <fgColor rgb="FFFCA377"/>
        </patternFill>
      </fill>
    </dxf>
    <dxf>
      <fill>
        <patternFill patternType="solid">
          <fgColor rgb="FFFCA577"/>
        </patternFill>
      </fill>
    </dxf>
    <dxf>
      <fill>
        <patternFill patternType="solid">
          <fgColor rgb="FFFCA878"/>
        </patternFill>
      </fill>
    </dxf>
    <dxf>
      <fill>
        <patternFill patternType="solid">
          <fgColor rgb="FFFCA978"/>
        </patternFill>
      </fill>
    </dxf>
    <dxf>
      <fill>
        <patternFill patternType="solid">
          <fgColor rgb="FFFDB47A"/>
        </patternFill>
      </fill>
    </dxf>
    <dxf>
      <fill>
        <patternFill patternType="solid">
          <fgColor rgb="FFFDBC7B"/>
        </patternFill>
      </fill>
    </dxf>
    <dxf>
      <fill>
        <patternFill patternType="solid">
          <fgColor rgb="FFFDBD7B"/>
        </patternFill>
      </fill>
    </dxf>
    <dxf>
      <fill>
        <patternFill patternType="solid">
          <fgColor rgb="FFFDC27C"/>
        </patternFill>
      </fill>
    </dxf>
    <dxf>
      <fill>
        <patternFill patternType="solid">
          <fgColor rgb="FF6DC07B"/>
        </patternFill>
      </fill>
    </dxf>
    <dxf>
      <fill>
        <patternFill patternType="solid">
          <fgColor rgb="FF6FC17B"/>
        </patternFill>
      </fill>
    </dxf>
    <dxf>
      <fill>
        <patternFill patternType="solid">
          <fgColor rgb="FF70C17B"/>
        </patternFill>
      </fill>
    </dxf>
    <dxf>
      <fill>
        <patternFill patternType="solid">
          <fgColor rgb="FF70C27B"/>
        </patternFill>
      </fill>
    </dxf>
    <dxf>
      <fill>
        <patternFill patternType="solid">
          <fgColor rgb="FF72C27B"/>
        </patternFill>
      </fill>
    </dxf>
    <dxf>
      <fill>
        <patternFill patternType="solid">
          <fgColor rgb="FF74C37C"/>
        </patternFill>
      </fill>
    </dxf>
    <dxf>
      <fill>
        <patternFill patternType="solid">
          <fgColor rgb="FFF0E683"/>
        </patternFill>
      </fill>
    </dxf>
    <dxf>
      <fill>
        <patternFill patternType="solid">
          <fgColor rgb="FFFECC7E"/>
        </patternFill>
      </fill>
    </dxf>
    <dxf>
      <font>
        <color rgb="FFE97132"/>
      </font>
      <fill>
        <patternFill>
          <bgColor rgb="FFFBE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595959"/>
      <rgbColor rgb="FF9999FF"/>
      <rgbColor rgb="FF78206E"/>
      <rgbColor rgb="FFFBE3D6"/>
      <rgbColor rgb="FFC1E5F5"/>
      <rgbColor rgb="FF660066"/>
      <rgbColor rgb="FFFF8080"/>
      <rgbColor rgb="FF145B7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2F1C8"/>
      <rgbColor rgb="FFFFFF99"/>
      <rgbColor rgb="FFBCC5CD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E97132"/>
      <rgbColor rgb="FF5E7D95"/>
      <rgbColor rgb="FF97A6B3"/>
      <rgbColor rgb="FF0F4760"/>
      <rgbColor rgb="FF467886"/>
      <rgbColor rgb="FF003300"/>
      <rgbColor rgb="FF333300"/>
      <rgbColor rgb="FF993300"/>
      <rgbColor rgb="FF993366"/>
      <rgbColor rgb="FF11526F"/>
      <rgbColor rgb="FF1048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Fractional Abundances of isoGDGTs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master_cultures!$AL$1:$AL$1</c:f>
              <c:strCache>
                <c:ptCount val="1"/>
                <c:pt idx="0">
                  <c:v>reported_1302</c:v>
                </c:pt>
              </c:strCache>
            </c:strRef>
          </c:tx>
          <c:spPr>
            <a:solidFill>
              <a:srgbClr val="bcc5c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master_cultures!$AL$2:$AL$188</c:f>
              <c:numCache>
                <c:formatCode>General</c:formatCode>
                <c:ptCount val="1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0.7</c:v>
                </c:pt>
                <c:pt idx="5">
                  <c:v>0.6</c:v>
                </c:pt>
                <c:pt idx="6">
                  <c:v>0.5</c:v>
                </c:pt>
                <c:pt idx="7">
                  <c:v>0.2</c:v>
                </c:pt>
                <c:pt idx="8">
                  <c:v>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7.5</c:v>
                </c:pt>
                <c:pt idx="16">
                  <c:v>0.9</c:v>
                </c:pt>
                <c:pt idx="17">
                  <c:v>1.1</c:v>
                </c:pt>
                <c:pt idx="18">
                  <c:v>5.3</c:v>
                </c:pt>
                <c:pt idx="19">
                  <c:v>0.4</c:v>
                </c:pt>
                <c:pt idx="20">
                  <c:v>0.5</c:v>
                </c:pt>
                <c:pt idx="21">
                  <c:v>10</c:v>
                </c:pt>
                <c:pt idx="22">
                  <c:v>14.4</c:v>
                </c:pt>
                <c:pt idx="23">
                  <c:v>10.5</c:v>
                </c:pt>
                <c:pt idx="24">
                  <c:v>8.8</c:v>
                </c:pt>
                <c:pt idx="25">
                  <c:v>31.2</c:v>
                </c:pt>
                <c:pt idx="26">
                  <c:v>12.2</c:v>
                </c:pt>
                <c:pt idx="27">
                  <c:v>7.5</c:v>
                </c:pt>
                <c:pt idx="28">
                  <c:v>25.2</c:v>
                </c:pt>
                <c:pt idx="29">
                  <c:v>15.2</c:v>
                </c:pt>
                <c:pt idx="30">
                  <c:v>12.1</c:v>
                </c:pt>
                <c:pt idx="31">
                  <c:v>5.04902735447094</c:v>
                </c:pt>
                <c:pt idx="32">
                  <c:v>6.37094346037539</c:v>
                </c:pt>
                <c:pt idx="33">
                  <c:v>4.62457465178225</c:v>
                </c:pt>
                <c:pt idx="34">
                  <c:v>0.098309617852306</c:v>
                </c:pt>
                <c:pt idx="35">
                  <c:v>4.94509613124634</c:v>
                </c:pt>
                <c:pt idx="36">
                  <c:v>0.210851371788283</c:v>
                </c:pt>
                <c:pt idx="37">
                  <c:v>0</c:v>
                </c:pt>
                <c:pt idx="38">
                  <c:v>0</c:v>
                </c:pt>
                <c:pt idx="39">
                  <c:v>0.0358314301205607</c:v>
                </c:pt>
                <c:pt idx="40">
                  <c:v>0.0857367320422929</c:v>
                </c:pt>
                <c:pt idx="41">
                  <c:v>0.16234894897708</c:v>
                </c:pt>
                <c:pt idx="42">
                  <c:v>1.5837492047948</c:v>
                </c:pt>
                <c:pt idx="43">
                  <c:v>0.0827366341639229</c:v>
                </c:pt>
                <c:pt idx="44">
                  <c:v>9.13617310466401</c:v>
                </c:pt>
                <c:pt idx="45">
                  <c:v>11.9087203249125</c:v>
                </c:pt>
                <c:pt idx="46">
                  <c:v>6.23426348823763</c:v>
                </c:pt>
                <c:pt idx="47">
                  <c:v>5.71248837332884</c:v>
                </c:pt>
                <c:pt idx="48">
                  <c:v>15.9530645092725</c:v>
                </c:pt>
                <c:pt idx="49">
                  <c:v>1.740036068514</c:v>
                </c:pt>
                <c:pt idx="50">
                  <c:v>11.1934681427469</c:v>
                </c:pt>
                <c:pt idx="51">
                  <c:v>8.00289041732267</c:v>
                </c:pt>
                <c:pt idx="52">
                  <c:v>7.71104921632667</c:v>
                </c:pt>
                <c:pt idx="53">
                  <c:v>8.3309737133752</c:v>
                </c:pt>
                <c:pt idx="54">
                  <c:v>10.8214535020481</c:v>
                </c:pt>
                <c:pt idx="55">
                  <c:v>3.03620282220942</c:v>
                </c:pt>
                <c:pt idx="56">
                  <c:v>2.7378983060648</c:v>
                </c:pt>
                <c:pt idx="57">
                  <c:v>1.21453758477439</c:v>
                </c:pt>
                <c:pt idx="58">
                  <c:v>0.2</c:v>
                </c:pt>
                <c:pt idx="59">
                  <c:v>0</c:v>
                </c:pt>
                <c:pt idx="60">
                  <c:v>0.07</c:v>
                </c:pt>
                <c:pt idx="61">
                  <c:v>0</c:v>
                </c:pt>
                <c:pt idx="62">
                  <c:v>0.04</c:v>
                </c:pt>
                <c:pt idx="63">
                  <c:v>0.05</c:v>
                </c:pt>
                <c:pt idx="64">
                  <c:v>0.09</c:v>
                </c:pt>
                <c:pt idx="65">
                  <c:v>0.08</c:v>
                </c:pt>
                <c:pt idx="66">
                  <c:v>0.1</c:v>
                </c:pt>
                <c:pt idx="67">
                  <c:v>0.32</c:v>
                </c:pt>
                <c:pt idx="68">
                  <c:v>0.1</c:v>
                </c:pt>
                <c:pt idx="69">
                  <c:v>0.12</c:v>
                </c:pt>
                <c:pt idx="70">
                  <c:v>27.86</c:v>
                </c:pt>
                <c:pt idx="71">
                  <c:v>22.76</c:v>
                </c:pt>
                <c:pt idx="72">
                  <c:v>21.62</c:v>
                </c:pt>
                <c:pt idx="73">
                  <c:v>13.47</c:v>
                </c:pt>
                <c:pt idx="74">
                  <c:v>6.04</c:v>
                </c:pt>
                <c:pt idx="75">
                  <c:v>5.78</c:v>
                </c:pt>
                <c:pt idx="76">
                  <c:v>59.34</c:v>
                </c:pt>
                <c:pt idx="77">
                  <c:v>57.6</c:v>
                </c:pt>
                <c:pt idx="78">
                  <c:v>50.22</c:v>
                </c:pt>
                <c:pt idx="79">
                  <c:v>38.09</c:v>
                </c:pt>
                <c:pt idx="80">
                  <c:v>27.23</c:v>
                </c:pt>
                <c:pt idx="81">
                  <c:v>56.92</c:v>
                </c:pt>
                <c:pt idx="82">
                  <c:v>53.99</c:v>
                </c:pt>
                <c:pt idx="83">
                  <c:v>48.33</c:v>
                </c:pt>
                <c:pt idx="84">
                  <c:v>43.96</c:v>
                </c:pt>
                <c:pt idx="85">
                  <c:v>38.81</c:v>
                </c:pt>
                <c:pt idx="86">
                  <c:v>25.33</c:v>
                </c:pt>
                <c:pt idx="87">
                  <c:v>4.21</c:v>
                </c:pt>
                <c:pt idx="88">
                  <c:v>3.84</c:v>
                </c:pt>
                <c:pt idx="89">
                  <c:v>7.81</c:v>
                </c:pt>
                <c:pt idx="90">
                  <c:v>8.95</c:v>
                </c:pt>
                <c:pt idx="91">
                  <c:v>10.32</c:v>
                </c:pt>
                <c:pt idx="92">
                  <c:v>9.69</c:v>
                </c:pt>
                <c:pt idx="93">
                  <c:v>9.44</c:v>
                </c:pt>
                <c:pt idx="94">
                  <c:v>9.5</c:v>
                </c:pt>
                <c:pt idx="95">
                  <c:v>11.57</c:v>
                </c:pt>
                <c:pt idx="96">
                  <c:v>14.84</c:v>
                </c:pt>
                <c:pt idx="97">
                  <c:v>16.49</c:v>
                </c:pt>
                <c:pt idx="98">
                  <c:v>19.58</c:v>
                </c:pt>
                <c:pt idx="99">
                  <c:v>0.094736842</c:v>
                </c:pt>
                <c:pt idx="100">
                  <c:v>0.147368421</c:v>
                </c:pt>
                <c:pt idx="101">
                  <c:v>0.170212766</c:v>
                </c:pt>
                <c:pt idx="102">
                  <c:v>0.35</c:v>
                </c:pt>
                <c:pt idx="103">
                  <c:v>0.26</c:v>
                </c:pt>
                <c:pt idx="104">
                  <c:v>0.31</c:v>
                </c:pt>
                <c:pt idx="105">
                  <c:v>13.7</c:v>
                </c:pt>
                <c:pt idx="106">
                  <c:v>2.9</c:v>
                </c:pt>
                <c:pt idx="107">
                  <c:v>0.3</c:v>
                </c:pt>
                <c:pt idx="108">
                  <c:v>0.140728476821192</c:v>
                </c:pt>
                <c:pt idx="109">
                  <c:v>28</c:v>
                </c:pt>
                <c:pt idx="110">
                  <c:v>4</c:v>
                </c:pt>
                <c:pt idx="111">
                  <c:v>25</c:v>
                </c:pt>
                <c:pt idx="112">
                  <c:v>25</c:v>
                </c:pt>
                <c:pt idx="113">
                  <c:v>1.6</c:v>
                </c:pt>
                <c:pt idx="114">
                  <c:v>2.8</c:v>
                </c:pt>
                <c:pt idx="115">
                  <c:v>2.5</c:v>
                </c:pt>
                <c:pt idx="116">
                  <c:v>2</c:v>
                </c:pt>
                <c:pt idx="117">
                  <c:v>1.6</c:v>
                </c:pt>
                <c:pt idx="118">
                  <c:v>7.5</c:v>
                </c:pt>
                <c:pt idx="119">
                  <c:v>8.9</c:v>
                </c:pt>
                <c:pt idx="120">
                  <c:v>9.8</c:v>
                </c:pt>
                <c:pt idx="127">
                  <c:v>44.19</c:v>
                </c:pt>
                <c:pt idx="128">
                  <c:v>28.49</c:v>
                </c:pt>
                <c:pt idx="129">
                  <c:v>31.42</c:v>
                </c:pt>
                <c:pt idx="130">
                  <c:v>28.48</c:v>
                </c:pt>
                <c:pt idx="131">
                  <c:v>21.41</c:v>
                </c:pt>
                <c:pt idx="132">
                  <c:v>13.51</c:v>
                </c:pt>
                <c:pt idx="133">
                  <c:v>21.55</c:v>
                </c:pt>
                <c:pt idx="134">
                  <c:v>43.49</c:v>
                </c:pt>
                <c:pt idx="135">
                  <c:v>28.49</c:v>
                </c:pt>
                <c:pt idx="136">
                  <c:v>47.94</c:v>
                </c:pt>
                <c:pt idx="137">
                  <c:v>65.83</c:v>
                </c:pt>
                <c:pt idx="138">
                  <c:v>25.76</c:v>
                </c:pt>
                <c:pt idx="139">
                  <c:v>12.23</c:v>
                </c:pt>
                <c:pt idx="140">
                  <c:v>21.41</c:v>
                </c:pt>
                <c:pt idx="141">
                  <c:v>34.39</c:v>
                </c:pt>
                <c:pt idx="142">
                  <c:v>22.72</c:v>
                </c:pt>
                <c:pt idx="143">
                  <c:v>8.18</c:v>
                </c:pt>
                <c:pt idx="144">
                  <c:v>42.25</c:v>
                </c:pt>
                <c:pt idx="145">
                  <c:v>28.49</c:v>
                </c:pt>
                <c:pt idx="146">
                  <c:v>32.54</c:v>
                </c:pt>
                <c:pt idx="147">
                  <c:v>9.25</c:v>
                </c:pt>
                <c:pt idx="148">
                  <c:v>7.64</c:v>
                </c:pt>
                <c:pt idx="149">
                  <c:v>30.93</c:v>
                </c:pt>
                <c:pt idx="150">
                  <c:v>21.41</c:v>
                </c:pt>
                <c:pt idx="151">
                  <c:v>19.77</c:v>
                </c:pt>
                <c:pt idx="152">
                  <c:v>7.39</c:v>
                </c:pt>
                <c:pt idx="153">
                  <c:v>44.6</c:v>
                </c:pt>
                <c:pt idx="154">
                  <c:v>34.3</c:v>
                </c:pt>
                <c:pt idx="155">
                  <c:v>22.2</c:v>
                </c:pt>
                <c:pt idx="156">
                  <c:v>38.8</c:v>
                </c:pt>
                <c:pt idx="157">
                  <c:v>31.3</c:v>
                </c:pt>
                <c:pt idx="158">
                  <c:v>14.3</c:v>
                </c:pt>
                <c:pt idx="159">
                  <c:v>31.8</c:v>
                </c:pt>
                <c:pt idx="160">
                  <c:v>24.9</c:v>
                </c:pt>
                <c:pt idx="161">
                  <c:v>11</c:v>
                </c:pt>
                <c:pt idx="162">
                  <c:v>23.4</c:v>
                </c:pt>
                <c:pt idx="163">
                  <c:v>24.6</c:v>
                </c:pt>
                <c:pt idx="164">
                  <c:v>16.4</c:v>
                </c:pt>
                <c:pt idx="165">
                  <c:v>0.0646229223325278</c:v>
                </c:pt>
                <c:pt idx="166">
                  <c:v>0.0356433767201007</c:v>
                </c:pt>
                <c:pt idx="167">
                  <c:v>0.0279585536034026</c:v>
                </c:pt>
                <c:pt idx="168">
                  <c:v>0.00263948682698136</c:v>
                </c:pt>
                <c:pt idx="169">
                  <c:v>0.180956780264808</c:v>
                </c:pt>
                <c:pt idx="170">
                  <c:v>0.137989360708539</c:v>
                </c:pt>
                <c:pt idx="171">
                  <c:v>0.0904016926032679</c:v>
                </c:pt>
                <c:pt idx="172">
                  <c:v>0.0503399679097273</c:v>
                </c:pt>
                <c:pt idx="173">
                  <c:v>0.0960564048139003</c:v>
                </c:pt>
                <c:pt idx="174">
                  <c:v>0.353211590422786</c:v>
                </c:pt>
                <c:pt idx="175">
                  <c:v>0.259757471788775</c:v>
                </c:pt>
                <c:pt idx="176">
                  <c:v>0.160304967570937</c:v>
                </c:pt>
                <c:pt idx="177">
                  <c:v>0.104904844642111</c:v>
                </c:pt>
                <c:pt idx="178">
                  <c:v>0.242490573713855</c:v>
                </c:pt>
                <c:pt idx="179">
                  <c:v>0.515723727749872</c:v>
                </c:pt>
                <c:pt idx="180">
                  <c:v>0.437775323736155</c:v>
                </c:pt>
                <c:pt idx="181">
                  <c:v>0.379610207503242</c:v>
                </c:pt>
                <c:pt idx="182">
                  <c:v>0.34460612646573</c:v>
                </c:pt>
                <c:pt idx="183">
                  <c:v>0.514026471181191</c:v>
                </c:pt>
                <c:pt idx="184">
                  <c:v>0.408538178708186</c:v>
                </c:pt>
                <c:pt idx="185">
                  <c:v>0.340944371386148</c:v>
                </c:pt>
                <c:pt idx="186">
                  <c:v>0.363780848290774</c:v>
                </c:pt>
              </c:numCache>
            </c:numRef>
          </c:val>
        </c:ser>
        <c:ser>
          <c:idx val="1"/>
          <c:order val="1"/>
          <c:tx>
            <c:strRef>
              <c:f>master_cultures!$AM$1:$AM$1</c:f>
              <c:strCache>
                <c:ptCount val="1"/>
                <c:pt idx="0">
                  <c:v>reported_1300</c:v>
                </c:pt>
              </c:strCache>
            </c:strRef>
          </c:tx>
          <c:spPr>
            <a:solidFill>
              <a:srgbClr val="97a6b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master_cultures!$AM$2:$AM$188</c:f>
              <c:numCache>
                <c:formatCode>General</c:formatCode>
                <c:ptCount val="187"/>
                <c:pt idx="0">
                  <c:v>0.6</c:v>
                </c:pt>
                <c:pt idx="1">
                  <c:v>0.3</c:v>
                </c:pt>
                <c:pt idx="2">
                  <c:v>0.1</c:v>
                </c:pt>
                <c:pt idx="3">
                  <c:v>9.2</c:v>
                </c:pt>
                <c:pt idx="4">
                  <c:v>1.4</c:v>
                </c:pt>
                <c:pt idx="5">
                  <c:v>1</c:v>
                </c:pt>
                <c:pt idx="6">
                  <c:v>0.6</c:v>
                </c:pt>
                <c:pt idx="7">
                  <c:v>0.7</c:v>
                </c:pt>
                <c:pt idx="8">
                  <c:v>0.9</c:v>
                </c:pt>
                <c:pt idx="9">
                  <c:v>0.8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11.2</c:v>
                </c:pt>
                <c:pt idx="16">
                  <c:v>2.5</c:v>
                </c:pt>
                <c:pt idx="17">
                  <c:v>2</c:v>
                </c:pt>
                <c:pt idx="18">
                  <c:v>11</c:v>
                </c:pt>
                <c:pt idx="19">
                  <c:v>3.9</c:v>
                </c:pt>
                <c:pt idx="20">
                  <c:v>4.8</c:v>
                </c:pt>
                <c:pt idx="21">
                  <c:v>8.4</c:v>
                </c:pt>
                <c:pt idx="22">
                  <c:v>9.6</c:v>
                </c:pt>
                <c:pt idx="23">
                  <c:v>7.1</c:v>
                </c:pt>
                <c:pt idx="24">
                  <c:v>7</c:v>
                </c:pt>
                <c:pt idx="25">
                  <c:v>18.4</c:v>
                </c:pt>
                <c:pt idx="26">
                  <c:v>9.6</c:v>
                </c:pt>
                <c:pt idx="27">
                  <c:v>5.9</c:v>
                </c:pt>
                <c:pt idx="28">
                  <c:v>17.1</c:v>
                </c:pt>
                <c:pt idx="29">
                  <c:v>12.6</c:v>
                </c:pt>
                <c:pt idx="30">
                  <c:v>10</c:v>
                </c:pt>
                <c:pt idx="31">
                  <c:v>2.38304386318605</c:v>
                </c:pt>
                <c:pt idx="32">
                  <c:v>6.93591665096578</c:v>
                </c:pt>
                <c:pt idx="33">
                  <c:v>4.19152266019089</c:v>
                </c:pt>
                <c:pt idx="34">
                  <c:v>0.0303562864445795</c:v>
                </c:pt>
                <c:pt idx="35">
                  <c:v>5.50368426360502</c:v>
                </c:pt>
                <c:pt idx="36">
                  <c:v>3.03555143227253</c:v>
                </c:pt>
                <c:pt idx="37">
                  <c:v>0</c:v>
                </c:pt>
                <c:pt idx="38">
                  <c:v>0</c:v>
                </c:pt>
                <c:pt idx="39">
                  <c:v>0.23898126836564</c:v>
                </c:pt>
                <c:pt idx="40">
                  <c:v>1.07027749656889</c:v>
                </c:pt>
                <c:pt idx="41">
                  <c:v>0.238167780132259</c:v>
                </c:pt>
                <c:pt idx="42">
                  <c:v>1.3507600050849</c:v>
                </c:pt>
                <c:pt idx="43">
                  <c:v>1.26332019975718</c:v>
                </c:pt>
                <c:pt idx="44">
                  <c:v>21.3281412183935</c:v>
                </c:pt>
                <c:pt idx="45">
                  <c:v>13.9406052504518</c:v>
                </c:pt>
                <c:pt idx="46">
                  <c:v>13.7911185322589</c:v>
                </c:pt>
                <c:pt idx="47">
                  <c:v>8.8853345276198</c:v>
                </c:pt>
                <c:pt idx="48">
                  <c:v>18.2243489884471</c:v>
                </c:pt>
                <c:pt idx="49">
                  <c:v>1.51144559681054</c:v>
                </c:pt>
                <c:pt idx="50">
                  <c:v>5.5869736662646</c:v>
                </c:pt>
                <c:pt idx="51">
                  <c:v>7.85348176649278</c:v>
                </c:pt>
                <c:pt idx="52">
                  <c:v>6.83330869608797</c:v>
                </c:pt>
                <c:pt idx="53">
                  <c:v>5.63503144788197</c:v>
                </c:pt>
                <c:pt idx="54">
                  <c:v>8.36065258280907</c:v>
                </c:pt>
                <c:pt idx="55">
                  <c:v>0.931464464588866</c:v>
                </c:pt>
                <c:pt idx="56">
                  <c:v>2.90178233001407</c:v>
                </c:pt>
                <c:pt idx="57">
                  <c:v>1.05027009197539</c:v>
                </c:pt>
                <c:pt idx="58">
                  <c:v>0</c:v>
                </c:pt>
                <c:pt idx="59">
                  <c:v>0</c:v>
                </c:pt>
                <c:pt idx="60">
                  <c:v>0.15</c:v>
                </c:pt>
                <c:pt idx="61">
                  <c:v>0.01</c:v>
                </c:pt>
                <c:pt idx="62">
                  <c:v>0.03</c:v>
                </c:pt>
                <c:pt idx="63">
                  <c:v>0.02</c:v>
                </c:pt>
                <c:pt idx="64">
                  <c:v>0.1</c:v>
                </c:pt>
                <c:pt idx="65">
                  <c:v>0.06</c:v>
                </c:pt>
                <c:pt idx="66">
                  <c:v>0.12</c:v>
                </c:pt>
                <c:pt idx="67">
                  <c:v>0.38</c:v>
                </c:pt>
                <c:pt idx="68">
                  <c:v>0.13</c:v>
                </c:pt>
                <c:pt idx="69">
                  <c:v>0.14</c:v>
                </c:pt>
                <c:pt idx="70">
                  <c:v>15.47</c:v>
                </c:pt>
                <c:pt idx="71">
                  <c:v>13.91</c:v>
                </c:pt>
                <c:pt idx="72">
                  <c:v>12.02</c:v>
                </c:pt>
                <c:pt idx="73">
                  <c:v>9.63</c:v>
                </c:pt>
                <c:pt idx="74">
                  <c:v>6.14</c:v>
                </c:pt>
                <c:pt idx="75">
                  <c:v>4.71</c:v>
                </c:pt>
                <c:pt idx="76">
                  <c:v>4.04</c:v>
                </c:pt>
                <c:pt idx="77">
                  <c:v>3.34</c:v>
                </c:pt>
                <c:pt idx="78">
                  <c:v>3.73</c:v>
                </c:pt>
                <c:pt idx="79">
                  <c:v>4.52</c:v>
                </c:pt>
                <c:pt idx="80">
                  <c:v>3.95</c:v>
                </c:pt>
                <c:pt idx="81">
                  <c:v>2.98</c:v>
                </c:pt>
                <c:pt idx="82">
                  <c:v>2.71</c:v>
                </c:pt>
                <c:pt idx="83">
                  <c:v>2.9</c:v>
                </c:pt>
                <c:pt idx="84">
                  <c:v>3.36</c:v>
                </c:pt>
                <c:pt idx="85">
                  <c:v>3.78</c:v>
                </c:pt>
                <c:pt idx="86">
                  <c:v>12.59</c:v>
                </c:pt>
                <c:pt idx="87">
                  <c:v>2.7</c:v>
                </c:pt>
                <c:pt idx="88">
                  <c:v>3.17</c:v>
                </c:pt>
                <c:pt idx="89">
                  <c:v>6.84</c:v>
                </c:pt>
                <c:pt idx="90">
                  <c:v>7.04</c:v>
                </c:pt>
                <c:pt idx="91">
                  <c:v>7.93</c:v>
                </c:pt>
                <c:pt idx="92">
                  <c:v>6.24</c:v>
                </c:pt>
                <c:pt idx="93">
                  <c:v>7.31</c:v>
                </c:pt>
                <c:pt idx="94">
                  <c:v>7.9</c:v>
                </c:pt>
                <c:pt idx="95">
                  <c:v>9</c:v>
                </c:pt>
                <c:pt idx="96">
                  <c:v>10.45</c:v>
                </c:pt>
                <c:pt idx="97">
                  <c:v>11.3</c:v>
                </c:pt>
                <c:pt idx="98">
                  <c:v>11.89</c:v>
                </c:pt>
                <c:pt idx="99">
                  <c:v>0.073684211</c:v>
                </c:pt>
                <c:pt idx="100">
                  <c:v>0.115789474</c:v>
                </c:pt>
                <c:pt idx="101">
                  <c:v>0.117021277</c:v>
                </c:pt>
                <c:pt idx="102">
                  <c:v>0.17</c:v>
                </c:pt>
                <c:pt idx="103">
                  <c:v>0.08</c:v>
                </c:pt>
                <c:pt idx="104">
                  <c:v>0.1</c:v>
                </c:pt>
                <c:pt idx="105">
                  <c:v>15.3</c:v>
                </c:pt>
                <c:pt idx="106">
                  <c:v>4</c:v>
                </c:pt>
                <c:pt idx="107">
                  <c:v>0.2</c:v>
                </c:pt>
                <c:pt idx="108">
                  <c:v>0.0894039735099339</c:v>
                </c:pt>
                <c:pt idx="109">
                  <c:v>14</c:v>
                </c:pt>
                <c:pt idx="110">
                  <c:v>16</c:v>
                </c:pt>
                <c:pt idx="111">
                  <c:v>28</c:v>
                </c:pt>
                <c:pt idx="112">
                  <c:v>28</c:v>
                </c:pt>
                <c:pt idx="113">
                  <c:v>0.3</c:v>
                </c:pt>
                <c:pt idx="114">
                  <c:v>1.2</c:v>
                </c:pt>
                <c:pt idx="115">
                  <c:v>0.5</c:v>
                </c:pt>
                <c:pt idx="116">
                  <c:v>0.5</c:v>
                </c:pt>
                <c:pt idx="127">
                  <c:v>6.6</c:v>
                </c:pt>
                <c:pt idx="128">
                  <c:v>8.57</c:v>
                </c:pt>
                <c:pt idx="129">
                  <c:v>7.62</c:v>
                </c:pt>
                <c:pt idx="130">
                  <c:v>10.91</c:v>
                </c:pt>
                <c:pt idx="131">
                  <c:v>11.45</c:v>
                </c:pt>
                <c:pt idx="132">
                  <c:v>11.08</c:v>
                </c:pt>
                <c:pt idx="133">
                  <c:v>5.76</c:v>
                </c:pt>
                <c:pt idx="134">
                  <c:v>6.08</c:v>
                </c:pt>
                <c:pt idx="135">
                  <c:v>8.57</c:v>
                </c:pt>
                <c:pt idx="136">
                  <c:v>6.29</c:v>
                </c:pt>
                <c:pt idx="137">
                  <c:v>10.78</c:v>
                </c:pt>
                <c:pt idx="138">
                  <c:v>8.25</c:v>
                </c:pt>
                <c:pt idx="139">
                  <c:v>7.85</c:v>
                </c:pt>
                <c:pt idx="140">
                  <c:v>11.45</c:v>
                </c:pt>
                <c:pt idx="141">
                  <c:v>10.93</c:v>
                </c:pt>
                <c:pt idx="142">
                  <c:v>13.31</c:v>
                </c:pt>
                <c:pt idx="143">
                  <c:v>4.69</c:v>
                </c:pt>
                <c:pt idx="144">
                  <c:v>7.34</c:v>
                </c:pt>
                <c:pt idx="145">
                  <c:v>8.57</c:v>
                </c:pt>
                <c:pt idx="146">
                  <c:v>10.63</c:v>
                </c:pt>
                <c:pt idx="147">
                  <c:v>8.76</c:v>
                </c:pt>
                <c:pt idx="148">
                  <c:v>5.9</c:v>
                </c:pt>
                <c:pt idx="149">
                  <c:v>10.72</c:v>
                </c:pt>
                <c:pt idx="150">
                  <c:v>11.45</c:v>
                </c:pt>
                <c:pt idx="151">
                  <c:v>14.14</c:v>
                </c:pt>
                <c:pt idx="152">
                  <c:v>9.73</c:v>
                </c:pt>
                <c:pt idx="153">
                  <c:v>20.1</c:v>
                </c:pt>
                <c:pt idx="154">
                  <c:v>19.2</c:v>
                </c:pt>
                <c:pt idx="155">
                  <c:v>13</c:v>
                </c:pt>
                <c:pt idx="156">
                  <c:v>23.1</c:v>
                </c:pt>
                <c:pt idx="157">
                  <c:v>20.1</c:v>
                </c:pt>
                <c:pt idx="158">
                  <c:v>10.8</c:v>
                </c:pt>
                <c:pt idx="159">
                  <c:v>14.2</c:v>
                </c:pt>
                <c:pt idx="160">
                  <c:v>8.7</c:v>
                </c:pt>
                <c:pt idx="161">
                  <c:v>5.9</c:v>
                </c:pt>
                <c:pt idx="162">
                  <c:v>5.5</c:v>
                </c:pt>
                <c:pt idx="163">
                  <c:v>8.5</c:v>
                </c:pt>
                <c:pt idx="164">
                  <c:v>6.1</c:v>
                </c:pt>
                <c:pt idx="165">
                  <c:v>0.0523565556535949</c:v>
                </c:pt>
                <c:pt idx="166">
                  <c:v>0.0309069050432531</c:v>
                </c:pt>
                <c:pt idx="167">
                  <c:v>0.02478284343528</c:v>
                </c:pt>
                <c:pt idx="168">
                  <c:v>0.00313795549274563</c:v>
                </c:pt>
                <c:pt idx="169">
                  <c:v>0.199728320954813</c:v>
                </c:pt>
                <c:pt idx="170">
                  <c:v>0.164472238241683</c:v>
                </c:pt>
                <c:pt idx="171">
                  <c:v>0.127243656682075</c:v>
                </c:pt>
                <c:pt idx="172">
                  <c:v>0.0730112414736814</c:v>
                </c:pt>
                <c:pt idx="173">
                  <c:v>0.108269850286558</c:v>
                </c:pt>
                <c:pt idx="174">
                  <c:v>0.126386708889941</c:v>
                </c:pt>
                <c:pt idx="175">
                  <c:v>0.132811792325685</c:v>
                </c:pt>
                <c:pt idx="176">
                  <c:v>0.118272341703722</c:v>
                </c:pt>
                <c:pt idx="177">
                  <c:v>0.091015958798162</c:v>
                </c:pt>
                <c:pt idx="178">
                  <c:v>0.199686089687055</c:v>
                </c:pt>
                <c:pt idx="179">
                  <c:v>0.133709782276437</c:v>
                </c:pt>
                <c:pt idx="180">
                  <c:v>0.174887305496125</c:v>
                </c:pt>
                <c:pt idx="181">
                  <c:v>0.177252789684837</c:v>
                </c:pt>
                <c:pt idx="182">
                  <c:v>0.180109248740323</c:v>
                </c:pt>
                <c:pt idx="183">
                  <c:v>0.0674529770714822</c:v>
                </c:pt>
                <c:pt idx="184">
                  <c:v>0.0417999212087021</c:v>
                </c:pt>
                <c:pt idx="185">
                  <c:v>0.0653029545206974</c:v>
                </c:pt>
                <c:pt idx="186">
                  <c:v>0.0461203751705111</c:v>
                </c:pt>
              </c:numCache>
            </c:numRef>
          </c:val>
        </c:ser>
        <c:ser>
          <c:idx val="2"/>
          <c:order val="2"/>
          <c:tx>
            <c:strRef>
              <c:f>master_cultures!$AN$1:$AN$1</c:f>
              <c:strCache>
                <c:ptCount val="1"/>
                <c:pt idx="0">
                  <c:v>reported_1298</c:v>
                </c:pt>
              </c:strCache>
            </c:strRef>
          </c:tx>
          <c:spPr>
            <a:solidFill>
              <a:srgbClr val="5e7d9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master_cultures!$AN$2:$AN$188</c:f>
              <c:numCache>
                <c:formatCode>General</c:formatCode>
                <c:ptCount val="187"/>
                <c:pt idx="0">
                  <c:v>2.8</c:v>
                </c:pt>
                <c:pt idx="1">
                  <c:v>1.9</c:v>
                </c:pt>
                <c:pt idx="2">
                  <c:v>2.8</c:v>
                </c:pt>
                <c:pt idx="3">
                  <c:v>3.8</c:v>
                </c:pt>
                <c:pt idx="4">
                  <c:v>1.3</c:v>
                </c:pt>
                <c:pt idx="5">
                  <c:v>0.8</c:v>
                </c:pt>
                <c:pt idx="6">
                  <c:v>0.5</c:v>
                </c:pt>
                <c:pt idx="7">
                  <c:v>0.7</c:v>
                </c:pt>
                <c:pt idx="8">
                  <c:v>1</c:v>
                </c:pt>
                <c:pt idx="9">
                  <c:v>3.4</c:v>
                </c:pt>
                <c:pt idx="10">
                  <c:v>2.6</c:v>
                </c:pt>
                <c:pt idx="11">
                  <c:v>1.8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10.5</c:v>
                </c:pt>
                <c:pt idx="16">
                  <c:v>6.5</c:v>
                </c:pt>
                <c:pt idx="17">
                  <c:v>6.4</c:v>
                </c:pt>
                <c:pt idx="18">
                  <c:v>3.4</c:v>
                </c:pt>
                <c:pt idx="19">
                  <c:v>1.4</c:v>
                </c:pt>
                <c:pt idx="20">
                  <c:v>1.5</c:v>
                </c:pt>
                <c:pt idx="21">
                  <c:v>14.2</c:v>
                </c:pt>
                <c:pt idx="22">
                  <c:v>23.3</c:v>
                </c:pt>
                <c:pt idx="23">
                  <c:v>23.1</c:v>
                </c:pt>
                <c:pt idx="24">
                  <c:v>10.3</c:v>
                </c:pt>
                <c:pt idx="25">
                  <c:v>14.9</c:v>
                </c:pt>
                <c:pt idx="26">
                  <c:v>22.1</c:v>
                </c:pt>
                <c:pt idx="27">
                  <c:v>27</c:v>
                </c:pt>
                <c:pt idx="28">
                  <c:v>20.5</c:v>
                </c:pt>
                <c:pt idx="29">
                  <c:v>24.3</c:v>
                </c:pt>
                <c:pt idx="30">
                  <c:v>26.6</c:v>
                </c:pt>
                <c:pt idx="31">
                  <c:v>1.94102985859028</c:v>
                </c:pt>
                <c:pt idx="32">
                  <c:v>11.4669961761064</c:v>
                </c:pt>
                <c:pt idx="33">
                  <c:v>3.73867356119331</c:v>
                </c:pt>
                <c:pt idx="34">
                  <c:v>2.97255022246746</c:v>
                </c:pt>
                <c:pt idx="35">
                  <c:v>7.38605458221894</c:v>
                </c:pt>
                <c:pt idx="36">
                  <c:v>16.8756513512623</c:v>
                </c:pt>
                <c:pt idx="37">
                  <c:v>0</c:v>
                </c:pt>
                <c:pt idx="38">
                  <c:v>0</c:v>
                </c:pt>
                <c:pt idx="39">
                  <c:v>6.19344356608915</c:v>
                </c:pt>
                <c:pt idx="40">
                  <c:v>13.2900320544714</c:v>
                </c:pt>
                <c:pt idx="41">
                  <c:v>0.39306706296659</c:v>
                </c:pt>
                <c:pt idx="42">
                  <c:v>1.51835141371965</c:v>
                </c:pt>
                <c:pt idx="43">
                  <c:v>5.6848979614474</c:v>
                </c:pt>
                <c:pt idx="44">
                  <c:v>33.0981669730905</c:v>
                </c:pt>
                <c:pt idx="45">
                  <c:v>34.7569055700608</c:v>
                </c:pt>
                <c:pt idx="46">
                  <c:v>37.9251572728478</c:v>
                </c:pt>
                <c:pt idx="47">
                  <c:v>42.8659770775496</c:v>
                </c:pt>
                <c:pt idx="48">
                  <c:v>35.1010492141478</c:v>
                </c:pt>
                <c:pt idx="49">
                  <c:v>1.65522737678659</c:v>
                </c:pt>
                <c:pt idx="50">
                  <c:v>7.20902529491338</c:v>
                </c:pt>
                <c:pt idx="51">
                  <c:v>28.5180926519604</c:v>
                </c:pt>
                <c:pt idx="52">
                  <c:v>18.9034139296521</c:v>
                </c:pt>
                <c:pt idx="53">
                  <c:v>18.3290097685506</c:v>
                </c:pt>
                <c:pt idx="54">
                  <c:v>19.025379805967</c:v>
                </c:pt>
                <c:pt idx="55">
                  <c:v>0.388892306515647</c:v>
                </c:pt>
                <c:pt idx="56">
                  <c:v>3.4370446629403</c:v>
                </c:pt>
                <c:pt idx="57">
                  <c:v>0.267614631651405</c:v>
                </c:pt>
                <c:pt idx="58">
                  <c:v>0</c:v>
                </c:pt>
                <c:pt idx="59">
                  <c:v>0</c:v>
                </c:pt>
                <c:pt idx="60">
                  <c:v>0.23</c:v>
                </c:pt>
                <c:pt idx="61">
                  <c:v>0.04</c:v>
                </c:pt>
                <c:pt idx="62">
                  <c:v>0.06</c:v>
                </c:pt>
                <c:pt idx="63">
                  <c:v>0.06</c:v>
                </c:pt>
                <c:pt idx="64">
                  <c:v>0.19</c:v>
                </c:pt>
                <c:pt idx="65">
                  <c:v>0.11</c:v>
                </c:pt>
                <c:pt idx="66">
                  <c:v>0.15</c:v>
                </c:pt>
                <c:pt idx="67">
                  <c:v>0.47</c:v>
                </c:pt>
                <c:pt idx="68">
                  <c:v>0.17</c:v>
                </c:pt>
                <c:pt idx="69">
                  <c:v>0.17</c:v>
                </c:pt>
                <c:pt idx="70">
                  <c:v>8.57</c:v>
                </c:pt>
                <c:pt idx="71">
                  <c:v>10.84</c:v>
                </c:pt>
                <c:pt idx="72">
                  <c:v>7.32</c:v>
                </c:pt>
                <c:pt idx="73">
                  <c:v>9.37</c:v>
                </c:pt>
                <c:pt idx="74">
                  <c:v>11.97</c:v>
                </c:pt>
                <c:pt idx="75">
                  <c:v>11.26</c:v>
                </c:pt>
                <c:pt idx="76">
                  <c:v>2.09</c:v>
                </c:pt>
                <c:pt idx="77">
                  <c:v>1.88</c:v>
                </c:pt>
                <c:pt idx="78">
                  <c:v>2.37</c:v>
                </c:pt>
                <c:pt idx="79">
                  <c:v>2.71</c:v>
                </c:pt>
                <c:pt idx="80">
                  <c:v>1.97</c:v>
                </c:pt>
                <c:pt idx="81">
                  <c:v>1.34</c:v>
                </c:pt>
                <c:pt idx="82">
                  <c:v>1.46</c:v>
                </c:pt>
                <c:pt idx="83">
                  <c:v>1.53</c:v>
                </c:pt>
                <c:pt idx="84">
                  <c:v>1.41</c:v>
                </c:pt>
                <c:pt idx="85">
                  <c:v>1.46</c:v>
                </c:pt>
                <c:pt idx="86">
                  <c:v>5.53</c:v>
                </c:pt>
                <c:pt idx="87">
                  <c:v>16.6</c:v>
                </c:pt>
                <c:pt idx="88">
                  <c:v>16.26</c:v>
                </c:pt>
                <c:pt idx="89">
                  <c:v>14.84</c:v>
                </c:pt>
                <c:pt idx="90">
                  <c:v>13.43</c:v>
                </c:pt>
                <c:pt idx="91">
                  <c:v>12.42</c:v>
                </c:pt>
                <c:pt idx="92">
                  <c:v>27</c:v>
                </c:pt>
                <c:pt idx="93">
                  <c:v>25.58</c:v>
                </c:pt>
                <c:pt idx="94">
                  <c:v>18.37</c:v>
                </c:pt>
                <c:pt idx="95">
                  <c:v>15.82</c:v>
                </c:pt>
                <c:pt idx="96">
                  <c:v>12.62</c:v>
                </c:pt>
                <c:pt idx="97">
                  <c:v>10.81</c:v>
                </c:pt>
                <c:pt idx="98">
                  <c:v>7.69</c:v>
                </c:pt>
                <c:pt idx="99">
                  <c:v>0.210526316</c:v>
                </c:pt>
                <c:pt idx="100">
                  <c:v>0.178947368</c:v>
                </c:pt>
                <c:pt idx="101">
                  <c:v>0.159574468</c:v>
                </c:pt>
                <c:pt idx="102">
                  <c:v>0.05</c:v>
                </c:pt>
                <c:pt idx="103">
                  <c:v>0.11</c:v>
                </c:pt>
                <c:pt idx="104">
                  <c:v>0.09</c:v>
                </c:pt>
                <c:pt idx="105">
                  <c:v>14.3</c:v>
                </c:pt>
                <c:pt idx="106">
                  <c:v>3.4</c:v>
                </c:pt>
                <c:pt idx="107">
                  <c:v>0.2</c:v>
                </c:pt>
                <c:pt idx="108">
                  <c:v>0.107615894039735</c:v>
                </c:pt>
                <c:pt idx="109">
                  <c:v>2</c:v>
                </c:pt>
                <c:pt idx="110">
                  <c:v>16</c:v>
                </c:pt>
                <c:pt idx="111">
                  <c:v>7.5</c:v>
                </c:pt>
                <c:pt idx="112">
                  <c:v>7.5</c:v>
                </c:pt>
                <c:pt idx="113">
                  <c:v>0.8</c:v>
                </c:pt>
                <c:pt idx="114">
                  <c:v>1</c:v>
                </c:pt>
                <c:pt idx="115">
                  <c:v>0.8</c:v>
                </c:pt>
                <c:pt idx="116">
                  <c:v>0.6</c:v>
                </c:pt>
                <c:pt idx="127">
                  <c:v>22.97</c:v>
                </c:pt>
                <c:pt idx="128">
                  <c:v>27.83</c:v>
                </c:pt>
                <c:pt idx="129">
                  <c:v>23.92</c:v>
                </c:pt>
                <c:pt idx="130">
                  <c:v>36.34</c:v>
                </c:pt>
                <c:pt idx="131">
                  <c:v>37.83</c:v>
                </c:pt>
                <c:pt idx="132">
                  <c:v>39.72</c:v>
                </c:pt>
                <c:pt idx="133">
                  <c:v>27.11</c:v>
                </c:pt>
                <c:pt idx="134">
                  <c:v>21.15</c:v>
                </c:pt>
                <c:pt idx="135">
                  <c:v>27.83</c:v>
                </c:pt>
                <c:pt idx="136">
                  <c:v>19.76</c:v>
                </c:pt>
                <c:pt idx="137">
                  <c:v>15.15</c:v>
                </c:pt>
                <c:pt idx="138">
                  <c:v>32.27</c:v>
                </c:pt>
                <c:pt idx="139">
                  <c:v>36.33</c:v>
                </c:pt>
                <c:pt idx="140">
                  <c:v>37.83</c:v>
                </c:pt>
                <c:pt idx="141">
                  <c:v>36.24</c:v>
                </c:pt>
                <c:pt idx="142">
                  <c:v>35.99</c:v>
                </c:pt>
                <c:pt idx="143">
                  <c:v>24.48</c:v>
                </c:pt>
                <c:pt idx="144">
                  <c:v>25.09</c:v>
                </c:pt>
                <c:pt idx="145">
                  <c:v>27.83</c:v>
                </c:pt>
                <c:pt idx="146">
                  <c:v>33.09</c:v>
                </c:pt>
                <c:pt idx="147">
                  <c:v>34.66</c:v>
                </c:pt>
                <c:pt idx="148">
                  <c:v>30.32</c:v>
                </c:pt>
                <c:pt idx="149">
                  <c:v>36.11</c:v>
                </c:pt>
                <c:pt idx="150">
                  <c:v>37.83</c:v>
                </c:pt>
                <c:pt idx="151">
                  <c:v>42.23</c:v>
                </c:pt>
                <c:pt idx="152">
                  <c:v>38.42</c:v>
                </c:pt>
                <c:pt idx="153">
                  <c:v>7.8</c:v>
                </c:pt>
                <c:pt idx="154">
                  <c:v>10.4</c:v>
                </c:pt>
                <c:pt idx="155">
                  <c:v>10.1</c:v>
                </c:pt>
                <c:pt idx="156">
                  <c:v>11.2</c:v>
                </c:pt>
                <c:pt idx="157">
                  <c:v>13.2</c:v>
                </c:pt>
                <c:pt idx="158">
                  <c:v>12.3</c:v>
                </c:pt>
                <c:pt idx="159">
                  <c:v>13.2</c:v>
                </c:pt>
                <c:pt idx="160">
                  <c:v>9.1</c:v>
                </c:pt>
                <c:pt idx="161">
                  <c:v>12.2</c:v>
                </c:pt>
                <c:pt idx="162">
                  <c:v>4</c:v>
                </c:pt>
                <c:pt idx="163">
                  <c:v>8.6</c:v>
                </c:pt>
                <c:pt idx="164">
                  <c:v>8.8</c:v>
                </c:pt>
                <c:pt idx="165">
                  <c:v>0.0478738575680938</c:v>
                </c:pt>
                <c:pt idx="166">
                  <c:v>0.0314784922489127</c:v>
                </c:pt>
                <c:pt idx="167">
                  <c:v>0.0234857527861734</c:v>
                </c:pt>
                <c:pt idx="168">
                  <c:v>0.00386018079697568</c:v>
                </c:pt>
                <c:pt idx="169">
                  <c:v>0.135502368847285</c:v>
                </c:pt>
                <c:pt idx="170">
                  <c:v>0.133302080785347</c:v>
                </c:pt>
                <c:pt idx="171">
                  <c:v>0.180303173977843</c:v>
                </c:pt>
                <c:pt idx="172">
                  <c:v>0.168075053703548</c:v>
                </c:pt>
                <c:pt idx="173">
                  <c:v>0.153079000236393</c:v>
                </c:pt>
                <c:pt idx="174">
                  <c:v>0.0503652374005158</c:v>
                </c:pt>
                <c:pt idx="175">
                  <c:v>0.0621449691540855</c:v>
                </c:pt>
                <c:pt idx="176">
                  <c:v>0.0787746921634775</c:v>
                </c:pt>
                <c:pt idx="177">
                  <c:v>0.0849472274353484</c:v>
                </c:pt>
                <c:pt idx="178">
                  <c:v>0.154486790670343</c:v>
                </c:pt>
                <c:pt idx="179">
                  <c:v>0.0447452878654551</c:v>
                </c:pt>
                <c:pt idx="180">
                  <c:v>0.0621035722000656</c:v>
                </c:pt>
                <c:pt idx="181">
                  <c:v>0.0637082262388039</c:v>
                </c:pt>
                <c:pt idx="182">
                  <c:v>0.0870316320768309</c:v>
                </c:pt>
                <c:pt idx="183">
                  <c:v>0.0148935139910483</c:v>
                </c:pt>
                <c:pt idx="184">
                  <c:v>0.0150302757057933</c:v>
                </c:pt>
                <c:pt idx="185">
                  <c:v>0.0264680497246913</c:v>
                </c:pt>
                <c:pt idx="186">
                  <c:v>0.0177456459318475</c:v>
                </c:pt>
              </c:numCache>
            </c:numRef>
          </c:val>
        </c:ser>
        <c:ser>
          <c:idx val="3"/>
          <c:order val="3"/>
          <c:tx>
            <c:strRef>
              <c:f>master_cultures!$AO$1:$AO$1</c:f>
              <c:strCache>
                <c:ptCount val="1"/>
                <c:pt idx="0">
                  <c:v>reported_1296</c:v>
                </c:pt>
              </c:strCache>
            </c:strRef>
          </c:tx>
          <c:spPr>
            <a:solidFill>
              <a:srgbClr val="145b7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master_cultures!$AO$2:$AO$188</c:f>
              <c:numCache>
                <c:formatCode>General</c:formatCode>
                <c:ptCount val="187"/>
                <c:pt idx="0">
                  <c:v>5</c:v>
                </c:pt>
                <c:pt idx="1">
                  <c:v>4.5</c:v>
                </c:pt>
                <c:pt idx="2">
                  <c:v>5.7</c:v>
                </c:pt>
                <c:pt idx="3">
                  <c:v>1.8</c:v>
                </c:pt>
                <c:pt idx="4">
                  <c:v>0.8</c:v>
                </c:pt>
                <c:pt idx="5">
                  <c:v>0.4</c:v>
                </c:pt>
                <c:pt idx="6">
                  <c:v>0.6</c:v>
                </c:pt>
                <c:pt idx="7">
                  <c:v>0.9</c:v>
                </c:pt>
                <c:pt idx="8">
                  <c:v>0.8</c:v>
                </c:pt>
                <c:pt idx="9">
                  <c:v>7.1</c:v>
                </c:pt>
                <c:pt idx="10">
                  <c:v>6.1</c:v>
                </c:pt>
                <c:pt idx="11">
                  <c:v>5.2</c:v>
                </c:pt>
                <c:pt idx="12">
                  <c:v>2.7</c:v>
                </c:pt>
                <c:pt idx="13">
                  <c:v>0.2</c:v>
                </c:pt>
                <c:pt idx="14">
                  <c:v>0</c:v>
                </c:pt>
                <c:pt idx="15">
                  <c:v>17.2</c:v>
                </c:pt>
                <c:pt idx="16">
                  <c:v>12.5</c:v>
                </c:pt>
                <c:pt idx="17">
                  <c:v>12.1</c:v>
                </c:pt>
                <c:pt idx="18">
                  <c:v>7.1</c:v>
                </c:pt>
                <c:pt idx="19">
                  <c:v>2.9</c:v>
                </c:pt>
                <c:pt idx="20">
                  <c:v>2.3</c:v>
                </c:pt>
                <c:pt idx="21">
                  <c:v>35.3</c:v>
                </c:pt>
                <c:pt idx="22">
                  <c:v>21.4</c:v>
                </c:pt>
                <c:pt idx="23">
                  <c:v>21.7</c:v>
                </c:pt>
                <c:pt idx="24">
                  <c:v>14.5</c:v>
                </c:pt>
                <c:pt idx="25">
                  <c:v>3.7</c:v>
                </c:pt>
                <c:pt idx="26">
                  <c:v>19.8</c:v>
                </c:pt>
                <c:pt idx="27">
                  <c:v>11.3</c:v>
                </c:pt>
                <c:pt idx="28">
                  <c:v>5.8</c:v>
                </c:pt>
                <c:pt idx="29">
                  <c:v>5.7</c:v>
                </c:pt>
                <c:pt idx="30">
                  <c:v>9.5</c:v>
                </c:pt>
                <c:pt idx="31">
                  <c:v>1.38854964080314</c:v>
                </c:pt>
                <c:pt idx="32">
                  <c:v>6.22977037438213</c:v>
                </c:pt>
                <c:pt idx="33">
                  <c:v>1.01574465748398</c:v>
                </c:pt>
                <c:pt idx="34">
                  <c:v>2.4007666386282</c:v>
                </c:pt>
                <c:pt idx="35">
                  <c:v>3.2070200763168</c:v>
                </c:pt>
                <c:pt idx="36">
                  <c:v>9.53491237332075</c:v>
                </c:pt>
                <c:pt idx="37">
                  <c:v>0</c:v>
                </c:pt>
                <c:pt idx="38">
                  <c:v>0</c:v>
                </c:pt>
                <c:pt idx="39">
                  <c:v>2.63231105867986</c:v>
                </c:pt>
                <c:pt idx="40">
                  <c:v>9.89834421653803</c:v>
                </c:pt>
                <c:pt idx="41">
                  <c:v>0.311164035699694</c:v>
                </c:pt>
                <c:pt idx="42">
                  <c:v>1.29155650315485</c:v>
                </c:pt>
                <c:pt idx="43">
                  <c:v>4.28892587494397</c:v>
                </c:pt>
                <c:pt idx="44">
                  <c:v>7.86073630741743</c:v>
                </c:pt>
                <c:pt idx="45">
                  <c:v>12.5536085085512</c:v>
                </c:pt>
                <c:pt idx="46">
                  <c:v>11.6742320225314</c:v>
                </c:pt>
                <c:pt idx="47">
                  <c:v>17.7310886608243</c:v>
                </c:pt>
                <c:pt idx="48">
                  <c:v>11.9750907790281</c:v>
                </c:pt>
                <c:pt idx="49">
                  <c:v>1.45360610411551</c:v>
                </c:pt>
                <c:pt idx="50">
                  <c:v>10.3353490711655</c:v>
                </c:pt>
                <c:pt idx="51">
                  <c:v>8.0193165204347</c:v>
                </c:pt>
                <c:pt idx="52">
                  <c:v>9.61727166716602</c:v>
                </c:pt>
                <c:pt idx="53">
                  <c:v>16.4753277156183</c:v>
                </c:pt>
                <c:pt idx="54">
                  <c:v>18.0441974139864</c:v>
                </c:pt>
                <c:pt idx="55">
                  <c:v>0.206227154911585</c:v>
                </c:pt>
                <c:pt idx="56">
                  <c:v>3.78584670100164</c:v>
                </c:pt>
                <c:pt idx="57">
                  <c:v>0.894983202203262</c:v>
                </c:pt>
                <c:pt idx="58">
                  <c:v>0</c:v>
                </c:pt>
                <c:pt idx="59">
                  <c:v>0.01</c:v>
                </c:pt>
                <c:pt idx="60">
                  <c:v>0.25</c:v>
                </c:pt>
                <c:pt idx="61">
                  <c:v>0.14</c:v>
                </c:pt>
                <c:pt idx="62">
                  <c:v>0.14</c:v>
                </c:pt>
                <c:pt idx="63">
                  <c:v>0.08</c:v>
                </c:pt>
                <c:pt idx="64">
                  <c:v>0.3</c:v>
                </c:pt>
                <c:pt idx="65">
                  <c:v>0.2</c:v>
                </c:pt>
                <c:pt idx="66">
                  <c:v>0.32</c:v>
                </c:pt>
                <c:pt idx="67">
                  <c:v>1</c:v>
                </c:pt>
                <c:pt idx="68">
                  <c:v>0.38</c:v>
                </c:pt>
                <c:pt idx="69">
                  <c:v>0.38</c:v>
                </c:pt>
                <c:pt idx="70">
                  <c:v>4.28</c:v>
                </c:pt>
                <c:pt idx="71">
                  <c:v>4.26</c:v>
                </c:pt>
                <c:pt idx="72">
                  <c:v>4.76</c:v>
                </c:pt>
                <c:pt idx="73">
                  <c:v>4.37</c:v>
                </c:pt>
                <c:pt idx="74">
                  <c:v>3.56</c:v>
                </c:pt>
                <c:pt idx="75">
                  <c:v>3.49</c:v>
                </c:pt>
                <c:pt idx="76">
                  <c:v>1.71</c:v>
                </c:pt>
                <c:pt idx="77">
                  <c:v>1.71</c:v>
                </c:pt>
                <c:pt idx="78">
                  <c:v>2.15</c:v>
                </c:pt>
                <c:pt idx="79">
                  <c:v>2.54</c:v>
                </c:pt>
                <c:pt idx="80">
                  <c:v>1.45</c:v>
                </c:pt>
                <c:pt idx="81">
                  <c:v>1.25</c:v>
                </c:pt>
                <c:pt idx="82">
                  <c:v>1.5</c:v>
                </c:pt>
                <c:pt idx="83">
                  <c:v>1.58</c:v>
                </c:pt>
                <c:pt idx="84">
                  <c:v>1.32</c:v>
                </c:pt>
                <c:pt idx="85">
                  <c:v>0.96</c:v>
                </c:pt>
                <c:pt idx="86">
                  <c:v>1.83</c:v>
                </c:pt>
                <c:pt idx="87">
                  <c:v>4.99</c:v>
                </c:pt>
                <c:pt idx="88">
                  <c:v>4.19</c:v>
                </c:pt>
                <c:pt idx="89">
                  <c:v>4.3</c:v>
                </c:pt>
                <c:pt idx="90">
                  <c:v>4.16</c:v>
                </c:pt>
                <c:pt idx="91">
                  <c:v>4.26</c:v>
                </c:pt>
                <c:pt idx="92">
                  <c:v>3.14</c:v>
                </c:pt>
                <c:pt idx="93">
                  <c:v>3.48</c:v>
                </c:pt>
                <c:pt idx="94">
                  <c:v>3.06</c:v>
                </c:pt>
                <c:pt idx="95">
                  <c:v>2.69</c:v>
                </c:pt>
                <c:pt idx="96">
                  <c:v>2.26</c:v>
                </c:pt>
                <c:pt idx="97">
                  <c:v>2.22</c:v>
                </c:pt>
                <c:pt idx="98">
                  <c:v>1.94</c:v>
                </c:pt>
                <c:pt idx="99">
                  <c:v>0.073684211</c:v>
                </c:pt>
                <c:pt idx="100">
                  <c:v>0.084210526</c:v>
                </c:pt>
                <c:pt idx="101">
                  <c:v>0.085106383</c:v>
                </c:pt>
                <c:pt idx="102">
                  <c:v>0.01</c:v>
                </c:pt>
                <c:pt idx="103">
                  <c:v>0.08</c:v>
                </c:pt>
                <c:pt idx="104">
                  <c:v>0.04</c:v>
                </c:pt>
                <c:pt idx="105">
                  <c:v>5.5</c:v>
                </c:pt>
                <c:pt idx="106">
                  <c:v>5</c:v>
                </c:pt>
                <c:pt idx="107">
                  <c:v>0.5</c:v>
                </c:pt>
                <c:pt idx="108">
                  <c:v>0.0695364238410596</c:v>
                </c:pt>
                <c:pt idx="109">
                  <c:v>0</c:v>
                </c:pt>
                <c:pt idx="110">
                  <c:v>7.6</c:v>
                </c:pt>
                <c:pt idx="111">
                  <c:v>5.1</c:v>
                </c:pt>
                <c:pt idx="112">
                  <c:v>5.1</c:v>
                </c:pt>
                <c:pt idx="113">
                  <c:v>1.1</c:v>
                </c:pt>
                <c:pt idx="114">
                  <c:v>1.2</c:v>
                </c:pt>
                <c:pt idx="115">
                  <c:v>1</c:v>
                </c:pt>
                <c:pt idx="116">
                  <c:v>0.4</c:v>
                </c:pt>
                <c:pt idx="118">
                  <c:v>1.5</c:v>
                </c:pt>
                <c:pt idx="127">
                  <c:v>5.69</c:v>
                </c:pt>
                <c:pt idx="128">
                  <c:v>9.73</c:v>
                </c:pt>
                <c:pt idx="129">
                  <c:v>9.39</c:v>
                </c:pt>
                <c:pt idx="130">
                  <c:v>8.01</c:v>
                </c:pt>
                <c:pt idx="131">
                  <c:v>11.78</c:v>
                </c:pt>
                <c:pt idx="132">
                  <c:v>13.26</c:v>
                </c:pt>
                <c:pt idx="133">
                  <c:v>8.94</c:v>
                </c:pt>
                <c:pt idx="134">
                  <c:v>7.15</c:v>
                </c:pt>
                <c:pt idx="135">
                  <c:v>9.73</c:v>
                </c:pt>
                <c:pt idx="136">
                  <c:v>6.42</c:v>
                </c:pt>
                <c:pt idx="137">
                  <c:v>2.76</c:v>
                </c:pt>
                <c:pt idx="138">
                  <c:v>9.09</c:v>
                </c:pt>
                <c:pt idx="139">
                  <c:v>14.97</c:v>
                </c:pt>
                <c:pt idx="140">
                  <c:v>11.78</c:v>
                </c:pt>
                <c:pt idx="141">
                  <c:v>7.22</c:v>
                </c:pt>
                <c:pt idx="142">
                  <c:v>11.09</c:v>
                </c:pt>
                <c:pt idx="143">
                  <c:v>12.68</c:v>
                </c:pt>
                <c:pt idx="144">
                  <c:v>8.01</c:v>
                </c:pt>
                <c:pt idx="145">
                  <c:v>9.73</c:v>
                </c:pt>
                <c:pt idx="146">
                  <c:v>8.8</c:v>
                </c:pt>
                <c:pt idx="147">
                  <c:v>15.75</c:v>
                </c:pt>
                <c:pt idx="148">
                  <c:v>12.84</c:v>
                </c:pt>
                <c:pt idx="149">
                  <c:v>8.96</c:v>
                </c:pt>
                <c:pt idx="150">
                  <c:v>11.78</c:v>
                </c:pt>
                <c:pt idx="151">
                  <c:v>10.81</c:v>
                </c:pt>
                <c:pt idx="152">
                  <c:v>16.08</c:v>
                </c:pt>
                <c:pt idx="153">
                  <c:v>2.4</c:v>
                </c:pt>
                <c:pt idx="154">
                  <c:v>2.9</c:v>
                </c:pt>
                <c:pt idx="155">
                  <c:v>3.3</c:v>
                </c:pt>
                <c:pt idx="156">
                  <c:v>3.2</c:v>
                </c:pt>
                <c:pt idx="157">
                  <c:v>3.2</c:v>
                </c:pt>
                <c:pt idx="158">
                  <c:v>4.3</c:v>
                </c:pt>
                <c:pt idx="159">
                  <c:v>2.9</c:v>
                </c:pt>
                <c:pt idx="160">
                  <c:v>2.9</c:v>
                </c:pt>
                <c:pt idx="161">
                  <c:v>4.6</c:v>
                </c:pt>
                <c:pt idx="162">
                  <c:v>2.2</c:v>
                </c:pt>
                <c:pt idx="163">
                  <c:v>3.2</c:v>
                </c:pt>
                <c:pt idx="164">
                  <c:v>4.2</c:v>
                </c:pt>
                <c:pt idx="165">
                  <c:v>0.0716534139217858</c:v>
                </c:pt>
                <c:pt idx="166">
                  <c:v>0.0593152981941857</c:v>
                </c:pt>
                <c:pt idx="167">
                  <c:v>0.0460937838894981</c:v>
                </c:pt>
                <c:pt idx="168">
                  <c:v>0.0126624164484942</c:v>
                </c:pt>
                <c:pt idx="169">
                  <c:v>0.0269325610224898</c:v>
                </c:pt>
                <c:pt idx="170">
                  <c:v>0.0238143841267373</c:v>
                </c:pt>
                <c:pt idx="171">
                  <c:v>0.0327481370330143</c:v>
                </c:pt>
                <c:pt idx="172">
                  <c:v>0.0323209839061975</c:v>
                </c:pt>
                <c:pt idx="173">
                  <c:v>0.0324967148172429</c:v>
                </c:pt>
                <c:pt idx="174">
                  <c:v>0.0394549225742002</c:v>
                </c:pt>
                <c:pt idx="175">
                  <c:v>0.0400965513427551</c:v>
                </c:pt>
                <c:pt idx="176">
                  <c:v>0.0404649548978106</c:v>
                </c:pt>
                <c:pt idx="177">
                  <c:v>0.0395471301091693</c:v>
                </c:pt>
                <c:pt idx="178">
                  <c:v>0.0886431015284976</c:v>
                </c:pt>
                <c:pt idx="179">
                  <c:v>0.020957003605465</c:v>
                </c:pt>
                <c:pt idx="180">
                  <c:v>0.0308621207053304</c:v>
                </c:pt>
                <c:pt idx="181">
                  <c:v>0.0443612245348016</c:v>
                </c:pt>
                <c:pt idx="182">
                  <c:v>0.0428271874079479</c:v>
                </c:pt>
                <c:pt idx="183">
                  <c:v>0.0127799295134205</c:v>
                </c:pt>
                <c:pt idx="184">
                  <c:v>0.00830115176078639</c:v>
                </c:pt>
                <c:pt idx="185">
                  <c:v>0.00928547359116495</c:v>
                </c:pt>
                <c:pt idx="186">
                  <c:v>0.00841077720521622</c:v>
                </c:pt>
              </c:numCache>
            </c:numRef>
          </c:val>
        </c:ser>
        <c:ser>
          <c:idx val="4"/>
          <c:order val="4"/>
          <c:tx>
            <c:strRef>
              <c:f>master_cultures!$AP$1:$AP$1</c:f>
              <c:strCache>
                <c:ptCount val="1"/>
                <c:pt idx="0">
                  <c:v>reported_1292</c:v>
                </c:pt>
              </c:strCache>
            </c:strRef>
          </c:tx>
          <c:spPr>
            <a:solidFill>
              <a:srgbClr val="11526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master_cultures!$AP$2:$AP$188</c:f>
              <c:numCache>
                <c:formatCode>General</c:formatCode>
                <c:ptCount val="187"/>
                <c:pt idx="0">
                  <c:v>4</c:v>
                </c:pt>
                <c:pt idx="1">
                  <c:v>11</c:v>
                </c:pt>
                <c:pt idx="2">
                  <c:v>14</c:v>
                </c:pt>
                <c:pt idx="3">
                  <c:v>14</c:v>
                </c:pt>
                <c:pt idx="4">
                  <c:v>29</c:v>
                </c:pt>
                <c:pt idx="5">
                  <c:v>19</c:v>
                </c:pt>
                <c:pt idx="6">
                  <c:v>1.6</c:v>
                </c:pt>
                <c:pt idx="7">
                  <c:v>2.1</c:v>
                </c:pt>
                <c:pt idx="8">
                  <c:v>5.7</c:v>
                </c:pt>
                <c:pt idx="9">
                  <c:v>1.1</c:v>
                </c:pt>
                <c:pt idx="10">
                  <c:v>2.8</c:v>
                </c:pt>
                <c:pt idx="11">
                  <c:v>4.9</c:v>
                </c:pt>
                <c:pt idx="12">
                  <c:v>1.3</c:v>
                </c:pt>
                <c:pt idx="13">
                  <c:v>4.2</c:v>
                </c:pt>
                <c:pt idx="14">
                  <c:v>3.5</c:v>
                </c:pt>
                <c:pt idx="15">
                  <c:v>22</c:v>
                </c:pt>
                <c:pt idx="16">
                  <c:v>49.1</c:v>
                </c:pt>
                <c:pt idx="17">
                  <c:v>47.1</c:v>
                </c:pt>
                <c:pt idx="18">
                  <c:v>25</c:v>
                </c:pt>
                <c:pt idx="19">
                  <c:v>51</c:v>
                </c:pt>
                <c:pt idx="20">
                  <c:v>59</c:v>
                </c:pt>
                <c:pt idx="21">
                  <c:v>13.3</c:v>
                </c:pt>
                <c:pt idx="22">
                  <c:v>17.5</c:v>
                </c:pt>
                <c:pt idx="23">
                  <c:v>23.9</c:v>
                </c:pt>
                <c:pt idx="24">
                  <c:v>38.7</c:v>
                </c:pt>
                <c:pt idx="25">
                  <c:v>30.4</c:v>
                </c:pt>
                <c:pt idx="26">
                  <c:v>24.3</c:v>
                </c:pt>
                <c:pt idx="27">
                  <c:v>40.9</c:v>
                </c:pt>
                <c:pt idx="28">
                  <c:v>29</c:v>
                </c:pt>
                <c:pt idx="29">
                  <c:v>38.9</c:v>
                </c:pt>
                <c:pt idx="30">
                  <c:v>35.7</c:v>
                </c:pt>
                <c:pt idx="31">
                  <c:v>9.28033746611459</c:v>
                </c:pt>
                <c:pt idx="32">
                  <c:v>12.8456888541221</c:v>
                </c:pt>
                <c:pt idx="33">
                  <c:v>10.0772007105904</c:v>
                </c:pt>
                <c:pt idx="34">
                  <c:v>1.34691574227145</c:v>
                </c:pt>
                <c:pt idx="35">
                  <c:v>8.20805536108538</c:v>
                </c:pt>
                <c:pt idx="36">
                  <c:v>1.09929708300875</c:v>
                </c:pt>
                <c:pt idx="37">
                  <c:v>8.84562794567547</c:v>
                </c:pt>
                <c:pt idx="38">
                  <c:v>0.886093421006641</c:v>
                </c:pt>
                <c:pt idx="39">
                  <c:v>0.0502496257963335</c:v>
                </c:pt>
                <c:pt idx="40">
                  <c:v>0.515838111871423</c:v>
                </c:pt>
                <c:pt idx="41">
                  <c:v>67.9684307748193</c:v>
                </c:pt>
                <c:pt idx="42">
                  <c:v>37.3193390485025</c:v>
                </c:pt>
                <c:pt idx="43">
                  <c:v>0.50322098997341</c:v>
                </c:pt>
                <c:pt idx="44">
                  <c:v>12.462341369751</c:v>
                </c:pt>
                <c:pt idx="45">
                  <c:v>14.5171495382647</c:v>
                </c:pt>
                <c:pt idx="46">
                  <c:v>11.9107409058</c:v>
                </c:pt>
                <c:pt idx="47">
                  <c:v>8.52350536654416</c:v>
                </c:pt>
                <c:pt idx="48">
                  <c:v>9.59443586354036</c:v>
                </c:pt>
                <c:pt idx="49">
                  <c:v>69.3488374272237</c:v>
                </c:pt>
                <c:pt idx="50">
                  <c:v>21.2734200502151</c:v>
                </c:pt>
                <c:pt idx="51">
                  <c:v>32.7299033907647</c:v>
                </c:pt>
                <c:pt idx="52">
                  <c:v>19.3213237470882</c:v>
                </c:pt>
                <c:pt idx="53">
                  <c:v>19.05277331908</c:v>
                </c:pt>
                <c:pt idx="54">
                  <c:v>19.3883281223896</c:v>
                </c:pt>
                <c:pt idx="55">
                  <c:v>12.8446284452577</c:v>
                </c:pt>
                <c:pt idx="56">
                  <c:v>45.1170017935372</c:v>
                </c:pt>
                <c:pt idx="57">
                  <c:v>57.301722590566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65</c:v>
                </c:pt>
                <c:pt idx="67">
                  <c:v>69</c:v>
                </c:pt>
                <c:pt idx="68">
                  <c:v>70</c:v>
                </c:pt>
                <c:pt idx="69">
                  <c:v>65</c:v>
                </c:pt>
                <c:pt idx="70">
                  <c:v>43.67</c:v>
                </c:pt>
                <c:pt idx="71">
                  <c:v>47.99</c:v>
                </c:pt>
                <c:pt idx="72">
                  <c:v>53.91</c:v>
                </c:pt>
                <c:pt idx="73">
                  <c:v>62.58</c:v>
                </c:pt>
                <c:pt idx="74">
                  <c:v>71.73</c:v>
                </c:pt>
                <c:pt idx="75">
                  <c:v>73.91</c:v>
                </c:pt>
                <c:pt idx="76">
                  <c:v>32.51</c:v>
                </c:pt>
                <c:pt idx="77">
                  <c:v>35.17</c:v>
                </c:pt>
                <c:pt idx="78">
                  <c:v>41.27</c:v>
                </c:pt>
                <c:pt idx="79">
                  <c:v>51.78</c:v>
                </c:pt>
                <c:pt idx="80">
                  <c:v>64.9</c:v>
                </c:pt>
                <c:pt idx="81">
                  <c:v>37.39</c:v>
                </c:pt>
                <c:pt idx="82">
                  <c:v>40.14</c:v>
                </c:pt>
                <c:pt idx="83">
                  <c:v>45.42</c:v>
                </c:pt>
                <c:pt idx="84">
                  <c:v>49.78</c:v>
                </c:pt>
                <c:pt idx="85">
                  <c:v>54.65</c:v>
                </c:pt>
                <c:pt idx="86">
                  <c:v>54.41</c:v>
                </c:pt>
                <c:pt idx="87">
                  <c:v>70.03</c:v>
                </c:pt>
                <c:pt idx="88">
                  <c:v>71.35</c:v>
                </c:pt>
                <c:pt idx="89">
                  <c:v>65.28</c:v>
                </c:pt>
                <c:pt idx="90">
                  <c:v>65.72</c:v>
                </c:pt>
                <c:pt idx="91">
                  <c:v>64.28</c:v>
                </c:pt>
                <c:pt idx="92">
                  <c:v>53.53</c:v>
                </c:pt>
                <c:pt idx="93">
                  <c:v>53.78</c:v>
                </c:pt>
                <c:pt idx="94">
                  <c:v>60.49</c:v>
                </c:pt>
                <c:pt idx="95">
                  <c:v>60.33</c:v>
                </c:pt>
                <c:pt idx="96">
                  <c:v>59.34</c:v>
                </c:pt>
                <c:pt idx="97">
                  <c:v>58.7</c:v>
                </c:pt>
                <c:pt idx="98">
                  <c:v>58.53</c:v>
                </c:pt>
                <c:pt idx="99">
                  <c:v>0.536842105</c:v>
                </c:pt>
                <c:pt idx="100">
                  <c:v>0.463157895</c:v>
                </c:pt>
                <c:pt idx="101">
                  <c:v>0.457446809</c:v>
                </c:pt>
                <c:pt idx="102">
                  <c:v>0.34</c:v>
                </c:pt>
                <c:pt idx="103">
                  <c:v>0.24</c:v>
                </c:pt>
                <c:pt idx="104">
                  <c:v>0.35</c:v>
                </c:pt>
                <c:pt idx="105">
                  <c:v>35.8</c:v>
                </c:pt>
                <c:pt idx="106">
                  <c:v>29.2</c:v>
                </c:pt>
                <c:pt idx="107">
                  <c:v>55.1</c:v>
                </c:pt>
                <c:pt idx="108">
                  <c:v>0.59271523178808</c:v>
                </c:pt>
                <c:pt idx="109">
                  <c:v>56</c:v>
                </c:pt>
                <c:pt idx="110">
                  <c:v>36</c:v>
                </c:pt>
                <c:pt idx="111">
                  <c:v>33</c:v>
                </c:pt>
                <c:pt idx="112">
                  <c:v>33</c:v>
                </c:pt>
                <c:pt idx="113">
                  <c:v>40</c:v>
                </c:pt>
                <c:pt idx="114">
                  <c:v>33.6</c:v>
                </c:pt>
                <c:pt idx="115">
                  <c:v>26.2</c:v>
                </c:pt>
                <c:pt idx="116">
                  <c:v>10.4</c:v>
                </c:pt>
                <c:pt idx="117">
                  <c:v>16.8</c:v>
                </c:pt>
                <c:pt idx="118">
                  <c:v>22.4</c:v>
                </c:pt>
                <c:pt idx="119">
                  <c:v>23</c:v>
                </c:pt>
                <c:pt idx="120">
                  <c:v>19.4</c:v>
                </c:pt>
                <c:pt idx="121">
                  <c:v>8</c:v>
                </c:pt>
                <c:pt idx="122">
                  <c:v>8</c:v>
                </c:pt>
                <c:pt idx="123">
                  <c:v>80.2</c:v>
                </c:pt>
                <c:pt idx="124">
                  <c:v>7.7</c:v>
                </c:pt>
                <c:pt idx="125">
                  <c:v>10.2</c:v>
                </c:pt>
                <c:pt idx="126">
                  <c:v>6.9</c:v>
                </c:pt>
                <c:pt idx="127">
                  <c:v>6.39</c:v>
                </c:pt>
                <c:pt idx="128">
                  <c:v>6</c:v>
                </c:pt>
                <c:pt idx="129">
                  <c:v>8.13</c:v>
                </c:pt>
                <c:pt idx="130">
                  <c:v>4.53</c:v>
                </c:pt>
                <c:pt idx="131">
                  <c:v>3.34</c:v>
                </c:pt>
                <c:pt idx="132">
                  <c:v>4.64</c:v>
                </c:pt>
                <c:pt idx="133">
                  <c:v>10.34</c:v>
                </c:pt>
                <c:pt idx="134">
                  <c:v>4.93</c:v>
                </c:pt>
                <c:pt idx="135">
                  <c:v>6</c:v>
                </c:pt>
                <c:pt idx="136">
                  <c:v>4.6</c:v>
                </c:pt>
                <c:pt idx="137">
                  <c:v>1.45</c:v>
                </c:pt>
                <c:pt idx="138">
                  <c:v>5.59</c:v>
                </c:pt>
                <c:pt idx="139">
                  <c:v>5.13</c:v>
                </c:pt>
                <c:pt idx="140">
                  <c:v>3.34</c:v>
                </c:pt>
                <c:pt idx="141">
                  <c:v>1.91</c:v>
                </c:pt>
                <c:pt idx="142">
                  <c:v>4.31</c:v>
                </c:pt>
                <c:pt idx="143">
                  <c:v>9.55</c:v>
                </c:pt>
                <c:pt idx="144">
                  <c:v>3.25</c:v>
                </c:pt>
                <c:pt idx="145">
                  <c:v>6</c:v>
                </c:pt>
                <c:pt idx="146">
                  <c:v>3.01</c:v>
                </c:pt>
                <c:pt idx="147">
                  <c:v>7.2</c:v>
                </c:pt>
                <c:pt idx="148">
                  <c:v>7.75</c:v>
                </c:pt>
                <c:pt idx="149">
                  <c:v>1.97</c:v>
                </c:pt>
                <c:pt idx="150">
                  <c:v>3.34</c:v>
                </c:pt>
                <c:pt idx="151">
                  <c:v>1.98</c:v>
                </c:pt>
                <c:pt idx="152">
                  <c:v>5.58</c:v>
                </c:pt>
                <c:pt idx="153">
                  <c:v>21.3</c:v>
                </c:pt>
                <c:pt idx="154">
                  <c:v>26.1</c:v>
                </c:pt>
                <c:pt idx="155">
                  <c:v>35.4</c:v>
                </c:pt>
                <c:pt idx="156">
                  <c:v>18.8</c:v>
                </c:pt>
                <c:pt idx="157">
                  <c:v>23.2</c:v>
                </c:pt>
                <c:pt idx="158">
                  <c:v>28.7</c:v>
                </c:pt>
                <c:pt idx="159">
                  <c:v>6.7</c:v>
                </c:pt>
                <c:pt idx="160">
                  <c:v>7.8</c:v>
                </c:pt>
                <c:pt idx="161">
                  <c:v>5.5</c:v>
                </c:pt>
                <c:pt idx="162">
                  <c:v>7.3</c:v>
                </c:pt>
                <c:pt idx="163">
                  <c:v>10</c:v>
                </c:pt>
                <c:pt idx="164">
                  <c:v>11.2</c:v>
                </c:pt>
                <c:pt idx="165">
                  <c:v>0.604613325377816</c:v>
                </c:pt>
                <c:pt idx="166">
                  <c:v>0.6306890688125</c:v>
                </c:pt>
                <c:pt idx="167">
                  <c:v>0.646853184616807</c:v>
                </c:pt>
                <c:pt idx="168">
                  <c:v>0.693758642691294</c:v>
                </c:pt>
                <c:pt idx="169">
                  <c:v>0.454031443867735</c:v>
                </c:pt>
                <c:pt idx="170">
                  <c:v>0.534842904411954</c:v>
                </c:pt>
                <c:pt idx="171">
                  <c:v>0.563224021312562</c:v>
                </c:pt>
                <c:pt idx="172">
                  <c:v>0.661357558508973</c:v>
                </c:pt>
                <c:pt idx="173">
                  <c:v>0.599388216966824</c:v>
                </c:pt>
                <c:pt idx="174">
                  <c:v>0.428238197467388</c:v>
                </c:pt>
                <c:pt idx="175">
                  <c:v>0.501219403861513</c:v>
                </c:pt>
                <c:pt idx="176">
                  <c:v>0.596275117453373</c:v>
                </c:pt>
                <c:pt idx="177">
                  <c:v>0.671876287742252</c:v>
                </c:pt>
                <c:pt idx="178">
                  <c:v>0.153446368557124</c:v>
                </c:pt>
                <c:pt idx="179">
                  <c:v>0.281868787062314</c:v>
                </c:pt>
                <c:pt idx="180">
                  <c:v>0.285259193446433</c:v>
                </c:pt>
                <c:pt idx="181">
                  <c:v>0.323836035743518</c:v>
                </c:pt>
                <c:pt idx="182">
                  <c:v>0.323895412656285</c:v>
                </c:pt>
                <c:pt idx="183">
                  <c:v>0.390847108242858</c:v>
                </c:pt>
                <c:pt idx="184">
                  <c:v>0.518682177492692</c:v>
                </c:pt>
                <c:pt idx="185">
                  <c:v>0.549092996365743</c:v>
                </c:pt>
                <c:pt idx="186">
                  <c:v>0.554988246525083</c:v>
                </c:pt>
              </c:numCache>
            </c:numRef>
          </c:val>
        </c:ser>
        <c:ser>
          <c:idx val="5"/>
          <c:order val="5"/>
          <c:tx>
            <c:strRef>
              <c:f>master_cultures!$AQ$1:$AQ$1</c:f>
              <c:strCache>
                <c:ptCount val="1"/>
                <c:pt idx="0">
                  <c:v>reported_1292_iso</c:v>
                </c:pt>
              </c:strCache>
            </c:strRef>
          </c:tx>
          <c:spPr>
            <a:solidFill>
              <a:srgbClr val="0f47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master_cultures!$AQ$2:$AQ$188</c:f>
              <c:numCache>
                <c:formatCode>General</c:formatCode>
                <c:ptCount val="1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4.6</c:v>
                </c:pt>
                <c:pt idx="19">
                  <c:v>12</c:v>
                </c:pt>
                <c:pt idx="20">
                  <c:v>11</c:v>
                </c:pt>
                <c:pt idx="21">
                  <c:v>1.3</c:v>
                </c:pt>
                <c:pt idx="22">
                  <c:v>1.3</c:v>
                </c:pt>
                <c:pt idx="23">
                  <c:v>2.2</c:v>
                </c:pt>
                <c:pt idx="24">
                  <c:v>4.9</c:v>
                </c:pt>
                <c:pt idx="25">
                  <c:v>0.2</c:v>
                </c:pt>
                <c:pt idx="26">
                  <c:v>1.6</c:v>
                </c:pt>
                <c:pt idx="27">
                  <c:v>1.2</c:v>
                </c:pt>
                <c:pt idx="28">
                  <c:v>0.4</c:v>
                </c:pt>
                <c:pt idx="29">
                  <c:v>0.6</c:v>
                </c:pt>
                <c:pt idx="30">
                  <c:v>0.9</c:v>
                </c:pt>
                <c:pt idx="31">
                  <c:v>0.454352984706014</c:v>
                </c:pt>
                <c:pt idx="32">
                  <c:v>0.411697930453323</c:v>
                </c:pt>
                <c:pt idx="33">
                  <c:v>0.223304363839989</c:v>
                </c:pt>
                <c:pt idx="34">
                  <c:v>0.325365558261136</c:v>
                </c:pt>
                <c:pt idx="35">
                  <c:v>0.184160276743516</c:v>
                </c:pt>
                <c:pt idx="36">
                  <c:v>0.961989060332397</c:v>
                </c:pt>
                <c:pt idx="37">
                  <c:v>0.713858403197846</c:v>
                </c:pt>
                <c:pt idx="38">
                  <c:v>0.612670355733102</c:v>
                </c:pt>
                <c:pt idx="39">
                  <c:v>0.322246769939556</c:v>
                </c:pt>
                <c:pt idx="40">
                  <c:v>1.13566668558685</c:v>
                </c:pt>
                <c:pt idx="41">
                  <c:v>5.48865179539637</c:v>
                </c:pt>
                <c:pt idx="42">
                  <c:v>0.705535009611373</c:v>
                </c:pt>
                <c:pt idx="43">
                  <c:v>0.747002661298785</c:v>
                </c:pt>
                <c:pt idx="44">
                  <c:v>1.2013556460048</c:v>
                </c:pt>
                <c:pt idx="45">
                  <c:v>0.733944700392879</c:v>
                </c:pt>
                <c:pt idx="46">
                  <c:v>1.18529342417239</c:v>
                </c:pt>
                <c:pt idx="47">
                  <c:v>1.46103224384799</c:v>
                </c:pt>
                <c:pt idx="48">
                  <c:v>0.480775973103059</c:v>
                </c:pt>
                <c:pt idx="49">
                  <c:v>1.47651038672734</c:v>
                </c:pt>
                <c:pt idx="50">
                  <c:v>2.33301887781494</c:v>
                </c:pt>
                <c:pt idx="51">
                  <c:v>0.647351192666829</c:v>
                </c:pt>
                <c:pt idx="52">
                  <c:v>1.69021658366129</c:v>
                </c:pt>
                <c:pt idx="53">
                  <c:v>1.79981704402652</c:v>
                </c:pt>
                <c:pt idx="54">
                  <c:v>1.18793252997312</c:v>
                </c:pt>
                <c:pt idx="55">
                  <c:v>0.879579105586369</c:v>
                </c:pt>
                <c:pt idx="56">
                  <c:v>26.4104190822172</c:v>
                </c:pt>
                <c:pt idx="57">
                  <c:v>28.9621293737269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21</c:v>
                </c:pt>
                <c:pt idx="67">
                  <c:v>24</c:v>
                </c:pt>
                <c:pt idx="68">
                  <c:v>21</c:v>
                </c:pt>
                <c:pt idx="69">
                  <c:v>19</c:v>
                </c:pt>
                <c:pt idx="70">
                  <c:v>0.15</c:v>
                </c:pt>
                <c:pt idx="71">
                  <c:v>0.24</c:v>
                </c:pt>
                <c:pt idx="72">
                  <c:v>0.37</c:v>
                </c:pt>
                <c:pt idx="73">
                  <c:v>0.58</c:v>
                </c:pt>
                <c:pt idx="74">
                  <c:v>0.56</c:v>
                </c:pt>
                <c:pt idx="75">
                  <c:v>0.84</c:v>
                </c:pt>
                <c:pt idx="76">
                  <c:v>0.31</c:v>
                </c:pt>
                <c:pt idx="77">
                  <c:v>0.3</c:v>
                </c:pt>
                <c:pt idx="78">
                  <c:v>0.26</c:v>
                </c:pt>
                <c:pt idx="79">
                  <c:v>0.36</c:v>
                </c:pt>
                <c:pt idx="80">
                  <c:v>0.5</c:v>
                </c:pt>
                <c:pt idx="81">
                  <c:v>0.12</c:v>
                </c:pt>
                <c:pt idx="82">
                  <c:v>0.2</c:v>
                </c:pt>
                <c:pt idx="83">
                  <c:v>0.23</c:v>
                </c:pt>
                <c:pt idx="84">
                  <c:v>0.17</c:v>
                </c:pt>
                <c:pt idx="85">
                  <c:v>0.34</c:v>
                </c:pt>
                <c:pt idx="86">
                  <c:v>0.31</c:v>
                </c:pt>
                <c:pt idx="87">
                  <c:v>1.28</c:v>
                </c:pt>
                <c:pt idx="88">
                  <c:v>1.18</c:v>
                </c:pt>
                <c:pt idx="89">
                  <c:v>0.89</c:v>
                </c:pt>
                <c:pt idx="90">
                  <c:v>0.62</c:v>
                </c:pt>
                <c:pt idx="91">
                  <c:v>0.61</c:v>
                </c:pt>
                <c:pt idx="92">
                  <c:v>0.37</c:v>
                </c:pt>
                <c:pt idx="93">
                  <c:v>0.36</c:v>
                </c:pt>
                <c:pt idx="94">
                  <c:v>0.64</c:v>
                </c:pt>
                <c:pt idx="95">
                  <c:v>0.55</c:v>
                </c:pt>
                <c:pt idx="96">
                  <c:v>0.43</c:v>
                </c:pt>
                <c:pt idx="97">
                  <c:v>0.39</c:v>
                </c:pt>
                <c:pt idx="98">
                  <c:v>0.29</c:v>
                </c:pt>
                <c:pt idx="99">
                  <c:v>0.010526316</c:v>
                </c:pt>
                <c:pt idx="100">
                  <c:v>0.010526316</c:v>
                </c:pt>
                <c:pt idx="101">
                  <c:v>0.010638298</c:v>
                </c:pt>
                <c:pt idx="102">
                  <c:v>0.004</c:v>
                </c:pt>
                <c:pt idx="103">
                  <c:v>0.01</c:v>
                </c:pt>
                <c:pt idx="104">
                  <c:v>0.006</c:v>
                </c:pt>
                <c:pt idx="105">
                  <c:v>1.1</c:v>
                </c:pt>
                <c:pt idx="106">
                  <c:v>13.7</c:v>
                </c:pt>
                <c:pt idx="107">
                  <c:v>22.9</c:v>
                </c:pt>
                <c:pt idx="108">
                  <c:v>0</c:v>
                </c:pt>
                <c:pt idx="109">
                  <c:v>0</c:v>
                </c:pt>
                <c:pt idx="110">
                  <c:v>1.1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1.2</c:v>
                </c:pt>
                <c:pt idx="115">
                  <c:v>0.3</c:v>
                </c:pt>
                <c:pt idx="116">
                  <c:v>0.9</c:v>
                </c:pt>
                <c:pt idx="118">
                  <c:v>0.3</c:v>
                </c:pt>
                <c:pt idx="120">
                  <c:v>1</c:v>
                </c:pt>
                <c:pt idx="153">
                  <c:v>0.1</c:v>
                </c:pt>
                <c:pt idx="154">
                  <c:v>0.1</c:v>
                </c:pt>
                <c:pt idx="155">
                  <c:v>0.3</c:v>
                </c:pt>
                <c:pt idx="156">
                  <c:v>0.2</c:v>
                </c:pt>
                <c:pt idx="157">
                  <c:v>0.1</c:v>
                </c:pt>
                <c:pt idx="158">
                  <c:v>0.6</c:v>
                </c:pt>
                <c:pt idx="159">
                  <c:v>0.3</c:v>
                </c:pt>
                <c:pt idx="160">
                  <c:v>0.2</c:v>
                </c:pt>
                <c:pt idx="161">
                  <c:v>0.4</c:v>
                </c:pt>
                <c:pt idx="162">
                  <c:v>0.2</c:v>
                </c:pt>
                <c:pt idx="163">
                  <c:v>0.3</c:v>
                </c:pt>
                <c:pt idx="164">
                  <c:v>0.5</c:v>
                </c:pt>
                <c:pt idx="165">
                  <c:v>0.0790791940219373</c:v>
                </c:pt>
                <c:pt idx="166">
                  <c:v>0.110109770635775</c:v>
                </c:pt>
                <c:pt idx="167">
                  <c:v>0.117210880046558</c:v>
                </c:pt>
                <c:pt idx="168">
                  <c:v>0.165552707354349</c:v>
                </c:pt>
                <c:pt idx="169">
                  <c:v>0.00284852504287042</c:v>
                </c:pt>
                <c:pt idx="170">
                  <c:v>0.00557903172573946</c:v>
                </c:pt>
                <c:pt idx="171">
                  <c:v>0.00607931839123843</c:v>
                </c:pt>
                <c:pt idx="172">
                  <c:v>0.014895194497873</c:v>
                </c:pt>
                <c:pt idx="173">
                  <c:v>0.0107098128790818</c:v>
                </c:pt>
                <c:pt idx="174">
                  <c:v>0.00234334324517002</c:v>
                </c:pt>
                <c:pt idx="175">
                  <c:v>0.00396981152718629</c:v>
                </c:pt>
                <c:pt idx="176">
                  <c:v>0.00590792621067985</c:v>
                </c:pt>
                <c:pt idx="177">
                  <c:v>0.00770855127295782</c:v>
                </c:pt>
                <c:pt idx="178">
                  <c:v>0.161247075843126</c:v>
                </c:pt>
                <c:pt idx="179">
                  <c:v>0.0029954114404571</c:v>
                </c:pt>
                <c:pt idx="180">
                  <c:v>0.00911248441589158</c:v>
                </c:pt>
                <c:pt idx="181">
                  <c:v>0.011231516294797</c:v>
                </c:pt>
                <c:pt idx="182">
                  <c:v>0.0215303926528836</c:v>
                </c:pt>
                <c:pt idx="183">
                  <c:v>0</c:v>
                </c:pt>
                <c:pt idx="184">
                  <c:v>0.00226053992117042</c:v>
                </c:pt>
                <c:pt idx="185">
                  <c:v>0.00294973328276556</c:v>
                </c:pt>
                <c:pt idx="186">
                  <c:v>0.00260172179470324</c:v>
                </c:pt>
              </c:numCache>
            </c:numRef>
          </c:val>
        </c:ser>
        <c:gapWidth val="0"/>
        <c:overlap val="100"/>
        <c:axId val="94873260"/>
        <c:axId val="55336298"/>
      </c:barChart>
      <c:catAx>
        <c:axId val="948732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336298"/>
        <c:crosses val="autoZero"/>
        <c:auto val="1"/>
        <c:lblAlgn val="ctr"/>
        <c:lblOffset val="100"/>
        <c:noMultiLvlLbl val="0"/>
      </c:catAx>
      <c:valAx>
        <c:axId val="553362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48732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66"/>
                <c:pt idx="0">
                  <c:v>20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66"/>
                <c:pt idx="0">
                  <c:v>2.43757575757576</c:v>
                </c:pt>
                <c:pt idx="1">
                  <c:v>2.23542857142857</c:v>
                </c:pt>
                <c:pt idx="2">
                  <c:v>2.51751412429379</c:v>
                </c:pt>
                <c:pt idx="3">
                  <c:v>2.91567695961995</c:v>
                </c:pt>
                <c:pt idx="4">
                  <c:v>1.83906882591093</c:v>
                </c:pt>
                <c:pt idx="5">
                  <c:v>2.41964285714286</c:v>
                </c:pt>
                <c:pt idx="6">
                  <c:v>2.7953091684435</c:v>
                </c:pt>
                <c:pt idx="7">
                  <c:v>1.97040816326531</c:v>
                </c:pt>
                <c:pt idx="8">
                  <c:v>2.42857142857143</c:v>
                </c:pt>
                <c:pt idx="9">
                  <c:v>2.51160337552743</c:v>
                </c:pt>
                <c:pt idx="10">
                  <c:v>3.36733673367337</c:v>
                </c:pt>
                <c:pt idx="11">
                  <c:v>2.40869889419325</c:v>
                </c:pt>
                <c:pt idx="12">
                  <c:v>2.29522008997012</c:v>
                </c:pt>
                <c:pt idx="13">
                  <c:v>2.34251082003796</c:v>
                </c:pt>
                <c:pt idx="14">
                  <c:v>2.7691874270079</c:v>
                </c:pt>
                <c:pt idx="15">
                  <c:v>2.15619908214901</c:v>
                </c:pt>
                <c:pt idx="16">
                  <c:v>2.32158866346264</c:v>
                </c:pt>
                <c:pt idx="17">
                  <c:v>4</c:v>
                </c:pt>
                <c:pt idx="18">
                  <c:v>4</c:v>
                </c:pt>
                <c:pt idx="19">
                  <c:v>2.32372417335239</c:v>
                </c:pt>
                <c:pt idx="20">
                  <c:v>2.46005735575281</c:v>
                </c:pt>
                <c:pt idx="21">
                  <c:v>1.94814294173748</c:v>
                </c:pt>
                <c:pt idx="22">
                  <c:v>2.05992189938886</c:v>
                </c:pt>
                <c:pt idx="23">
                  <c:v>2.14031119599383</c:v>
                </c:pt>
                <c:pt idx="24">
                  <c:v>2.20415554991355</c:v>
                </c:pt>
                <c:pt idx="25">
                  <c:v>1.80285550242462</c:v>
                </c:pt>
                <c:pt idx="26">
                  <c:v>2.51050709885059</c:v>
                </c:pt>
                <c:pt idx="27">
                  <c:v>2.59361021501464</c:v>
                </c:pt>
                <c:pt idx="28">
                  <c:v>2.45859100842995</c:v>
                </c:pt>
                <c:pt idx="29">
                  <c:v>2.5153981312853</c:v>
                </c:pt>
                <c:pt idx="30">
                  <c:v>2.37998100206977</c:v>
                </c:pt>
                <c:pt idx="31">
                  <c:v>2.2073</c:v>
                </c:pt>
                <c:pt idx="32">
                  <c:v>2.4129</c:v>
                </c:pt>
                <c:pt idx="33">
                  <c:v>2.5806</c:v>
                </c:pt>
                <c:pt idx="34">
                  <c:v>2.9412</c:v>
                </c:pt>
                <c:pt idx="35">
                  <c:v>3.2992</c:v>
                </c:pt>
                <c:pt idx="36">
                  <c:v>3.36733673367337</c:v>
                </c:pt>
                <c:pt idx="37">
                  <c:v>1.4463</c:v>
                </c:pt>
                <c:pt idx="38">
                  <c:v>1.5411</c:v>
                </c:pt>
                <c:pt idx="39">
                  <c:v>1.8104</c:v>
                </c:pt>
                <c:pt idx="40">
                  <c:v>2.2612</c:v>
                </c:pt>
                <c:pt idx="41">
                  <c:v>2.7384</c:v>
                </c:pt>
                <c:pt idx="42">
                  <c:v>1.5945</c:v>
                </c:pt>
                <c:pt idx="43">
                  <c:v>1.7149</c:v>
                </c:pt>
                <c:pt idx="44">
                  <c:v>1.93319331933193</c:v>
                </c:pt>
                <c:pt idx="45">
                  <c:v>2.0994</c:v>
                </c:pt>
                <c:pt idx="46">
                  <c:v>2.2954</c:v>
                </c:pt>
                <c:pt idx="47">
                  <c:v>2.4802</c:v>
                </c:pt>
                <c:pt idx="48">
                  <c:v>3.36749824666867</c:v>
                </c:pt>
                <c:pt idx="49">
                  <c:v>3.38413841384138</c:v>
                </c:pt>
                <c:pt idx="50">
                  <c:v>3.1422569027611</c:v>
                </c:pt>
                <c:pt idx="51">
                  <c:v>3.11989591673339</c:v>
                </c:pt>
                <c:pt idx="52">
                  <c:v>3.0566018833901</c:v>
                </c:pt>
                <c:pt idx="53">
                  <c:v>2.85345603681104</c:v>
                </c:pt>
                <c:pt idx="54">
                  <c:v>2.85612806403202</c:v>
                </c:pt>
                <c:pt idx="55">
                  <c:v>2.98459383753501</c:v>
                </c:pt>
                <c:pt idx="56">
                  <c:v>2.9234693877551</c:v>
                </c:pt>
                <c:pt idx="57">
                  <c:v>2.81719031418851</c:v>
                </c:pt>
                <c:pt idx="58">
                  <c:v>2.76188569712741</c:v>
                </c:pt>
                <c:pt idx="59">
                  <c:v>2.68584867894315</c:v>
                </c:pt>
                <c:pt idx="60">
                  <c:v>2.90526315709474</c:v>
                </c:pt>
                <c:pt idx="61">
                  <c:v>2.621052632</c:v>
                </c:pt>
                <c:pt idx="62">
                  <c:v>2.56382978743617</c:v>
                </c:pt>
                <c:pt idx="63">
                  <c:v>1.97435897435897</c:v>
                </c:pt>
                <c:pt idx="64">
                  <c:v>2.03571428571429</c:v>
                </c:pt>
                <c:pt idx="65">
                  <c:v>2.8841059602649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9713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66"/>
                <c:pt idx="0">
                  <c:v>20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66"/>
                <c:pt idx="0">
                  <c:v>2.85585585585586</c:v>
                </c:pt>
                <c:pt idx="1">
                  <c:v>2.64535464535465</c:v>
                </c:pt>
                <c:pt idx="2">
                  <c:v>2.949</c:v>
                </c:pt>
                <c:pt idx="3">
                  <c:v>3.52347652347652</c:v>
                </c:pt>
                <c:pt idx="4">
                  <c:v>2.171</c:v>
                </c:pt>
                <c:pt idx="5">
                  <c:v>2.84184184184184</c:v>
                </c:pt>
                <c:pt idx="6">
                  <c:v>3.29029029029029</c:v>
                </c:pt>
                <c:pt idx="7">
                  <c:v>2.30838323353293</c:v>
                </c:pt>
                <c:pt idx="8">
                  <c:v>2.86713286713287</c:v>
                </c:pt>
                <c:pt idx="9">
                  <c:v>2.95604395604396</c:v>
                </c:pt>
                <c:pt idx="10">
                  <c:v>4.11491149114911</c:v>
                </c:pt>
                <c:pt idx="11">
                  <c:v>3.00969735749579</c:v>
                </c:pt>
                <c:pt idx="12">
                  <c:v>2.74959445725374</c:v>
                </c:pt>
                <c:pt idx="13">
                  <c:v>2.856295585177</c:v>
                </c:pt>
                <c:pt idx="14">
                  <c:v>3.24518013423166</c:v>
                </c:pt>
                <c:pt idx="15">
                  <c:v>2.55424309548764</c:v>
                </c:pt>
                <c:pt idx="16">
                  <c:v>2.8890589032697</c:v>
                </c:pt>
                <c:pt idx="17">
                  <c:v>5</c:v>
                </c:pt>
                <c:pt idx="18">
                  <c:v>4.60852472072271</c:v>
                </c:pt>
                <c:pt idx="19">
                  <c:v>2.82028415215136</c:v>
                </c:pt>
                <c:pt idx="20">
                  <c:v>2.90279507731376</c:v>
                </c:pt>
                <c:pt idx="21">
                  <c:v>2.32909741480637</c:v>
                </c:pt>
                <c:pt idx="22">
                  <c:v>2.43720241906434</c:v>
                </c:pt>
                <c:pt idx="23">
                  <c:v>2.59028299750115</c:v>
                </c:pt>
                <c:pt idx="24">
                  <c:v>2.568458690344</c:v>
                </c:pt>
                <c:pt idx="25">
                  <c:v>2.09358170899939</c:v>
                </c:pt>
                <c:pt idx="26">
                  <c:v>3.07340055916468</c:v>
                </c:pt>
                <c:pt idx="27">
                  <c:v>3.04058977289903</c:v>
                </c:pt>
                <c:pt idx="28">
                  <c:v>3.06124749596426</c:v>
                </c:pt>
                <c:pt idx="29">
                  <c:v>2.95123102206151</c:v>
                </c:pt>
                <c:pt idx="30">
                  <c:v>2.77603832105871</c:v>
                </c:pt>
                <c:pt idx="31">
                  <c:v>2.6455</c:v>
                </c:pt>
                <c:pt idx="32">
                  <c:v>2.8952</c:v>
                </c:pt>
                <c:pt idx="33">
                  <c:v>3.1234</c:v>
                </c:pt>
                <c:pt idx="34">
                  <c:v>3.5728</c:v>
                </c:pt>
                <c:pt idx="35">
                  <c:v>4.0221</c:v>
                </c:pt>
                <c:pt idx="36">
                  <c:v>4.11491149114911</c:v>
                </c:pt>
                <c:pt idx="37">
                  <c:v>1.7745</c:v>
                </c:pt>
                <c:pt idx="38">
                  <c:v>1.8958</c:v>
                </c:pt>
                <c:pt idx="39">
                  <c:v>2.2257</c:v>
                </c:pt>
                <c:pt idx="40">
                  <c:v>2.7826</c:v>
                </c:pt>
                <c:pt idx="41">
                  <c:v>3.3924</c:v>
                </c:pt>
                <c:pt idx="42">
                  <c:v>1.9696</c:v>
                </c:pt>
                <c:pt idx="43">
                  <c:v>2.1183</c:v>
                </c:pt>
                <c:pt idx="44">
                  <c:v>2.38973897389739</c:v>
                </c:pt>
                <c:pt idx="45">
                  <c:v>2.5989</c:v>
                </c:pt>
                <c:pt idx="46">
                  <c:v>2.8453</c:v>
                </c:pt>
                <c:pt idx="47">
                  <c:v>3.0274</c:v>
                </c:pt>
                <c:pt idx="48">
                  <c:v>4.08195571586013</c:v>
                </c:pt>
                <c:pt idx="49">
                  <c:v>4.10951095109511</c:v>
                </c:pt>
                <c:pt idx="50">
                  <c:v>3.80422168867547</c:v>
                </c:pt>
                <c:pt idx="51">
                  <c:v>3.78382706164932</c:v>
                </c:pt>
                <c:pt idx="52">
                  <c:v>3.70667200961731</c:v>
                </c:pt>
                <c:pt idx="53">
                  <c:v>3.3926177853356</c:v>
                </c:pt>
                <c:pt idx="54">
                  <c:v>3.39779889944973</c:v>
                </c:pt>
                <c:pt idx="55">
                  <c:v>3.59613845538215</c:v>
                </c:pt>
                <c:pt idx="56">
                  <c:v>3.53251300520208</c:v>
                </c:pt>
                <c:pt idx="57">
                  <c:v>3.41524914948969</c:v>
                </c:pt>
                <c:pt idx="58">
                  <c:v>3.35331798618757</c:v>
                </c:pt>
                <c:pt idx="59">
                  <c:v>3.27451961569255</c:v>
                </c:pt>
                <c:pt idx="60">
                  <c:v>3.45263157754737</c:v>
                </c:pt>
                <c:pt idx="61">
                  <c:v>3.094736843</c:v>
                </c:pt>
                <c:pt idx="62">
                  <c:v>3.03191489396809</c:v>
                </c:pt>
                <c:pt idx="63">
                  <c:v>2.52222222222222</c:v>
                </c:pt>
                <c:pt idx="64">
                  <c:v>2.5</c:v>
                </c:pt>
                <c:pt idx="65">
                  <c:v>3.47682119205298</c:v>
                </c:pt>
              </c:numCache>
            </c:numRef>
          </c:yVal>
          <c:smooth val="0"/>
        </c:ser>
        <c:axId val="72305665"/>
        <c:axId val="11311899"/>
      </c:scatterChart>
      <c:valAx>
        <c:axId val="723056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Culture Temperature (degC)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1311899"/>
        <c:crosses val="autoZero"/>
        <c:crossBetween val="midCat"/>
      </c:valAx>
      <c:valAx>
        <c:axId val="113118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Ring Index (0-8)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23056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3816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0</c:f>
              <c:numCache>
                <c:formatCode>General</c:formatCode>
                <c:ptCount val="66"/>
                <c:pt idx="0">
                  <c:v>2.85585585585586</c:v>
                </c:pt>
                <c:pt idx="1">
                  <c:v>2.64535464535465</c:v>
                </c:pt>
                <c:pt idx="2">
                  <c:v>2.949</c:v>
                </c:pt>
                <c:pt idx="3">
                  <c:v>3.52347652347652</c:v>
                </c:pt>
                <c:pt idx="4">
                  <c:v>2.171</c:v>
                </c:pt>
                <c:pt idx="5">
                  <c:v>2.84184184184184</c:v>
                </c:pt>
                <c:pt idx="6">
                  <c:v>3.29029029029029</c:v>
                </c:pt>
                <c:pt idx="7">
                  <c:v>2.30838323353293</c:v>
                </c:pt>
                <c:pt idx="8">
                  <c:v>2.86713286713287</c:v>
                </c:pt>
                <c:pt idx="9">
                  <c:v>2.95604395604396</c:v>
                </c:pt>
                <c:pt idx="10">
                  <c:v>4.11491149114911</c:v>
                </c:pt>
                <c:pt idx="11">
                  <c:v>3.00969735749579</c:v>
                </c:pt>
                <c:pt idx="12">
                  <c:v>2.74959445725374</c:v>
                </c:pt>
                <c:pt idx="13">
                  <c:v>2.856295585177</c:v>
                </c:pt>
                <c:pt idx="14">
                  <c:v>3.24518013423166</c:v>
                </c:pt>
                <c:pt idx="15">
                  <c:v>2.55424309548764</c:v>
                </c:pt>
                <c:pt idx="16">
                  <c:v>2.8890589032697</c:v>
                </c:pt>
                <c:pt idx="17">
                  <c:v>5</c:v>
                </c:pt>
                <c:pt idx="18">
                  <c:v>4.60852472072271</c:v>
                </c:pt>
                <c:pt idx="19">
                  <c:v>2.82028415215136</c:v>
                </c:pt>
                <c:pt idx="20">
                  <c:v>2.90279507731376</c:v>
                </c:pt>
                <c:pt idx="21">
                  <c:v>2.32909741480637</c:v>
                </c:pt>
                <c:pt idx="22">
                  <c:v>2.43720241906434</c:v>
                </c:pt>
                <c:pt idx="23">
                  <c:v>2.59028299750115</c:v>
                </c:pt>
                <c:pt idx="24">
                  <c:v>2.568458690344</c:v>
                </c:pt>
                <c:pt idx="25">
                  <c:v>2.09358170899939</c:v>
                </c:pt>
                <c:pt idx="26">
                  <c:v>3.07340055916468</c:v>
                </c:pt>
                <c:pt idx="27">
                  <c:v>3.04058977289903</c:v>
                </c:pt>
                <c:pt idx="28">
                  <c:v>3.06124749596426</c:v>
                </c:pt>
                <c:pt idx="29">
                  <c:v>2.95123102206151</c:v>
                </c:pt>
                <c:pt idx="30">
                  <c:v>2.77603832105871</c:v>
                </c:pt>
                <c:pt idx="31">
                  <c:v>2.6455</c:v>
                </c:pt>
                <c:pt idx="32">
                  <c:v>2.8952</c:v>
                </c:pt>
                <c:pt idx="33">
                  <c:v>3.1234</c:v>
                </c:pt>
                <c:pt idx="34">
                  <c:v>3.5728</c:v>
                </c:pt>
                <c:pt idx="35">
                  <c:v>4.0221</c:v>
                </c:pt>
                <c:pt idx="36">
                  <c:v>4.11491149114911</c:v>
                </c:pt>
                <c:pt idx="37">
                  <c:v>1.7745</c:v>
                </c:pt>
                <c:pt idx="38">
                  <c:v>1.8958</c:v>
                </c:pt>
                <c:pt idx="39">
                  <c:v>2.2257</c:v>
                </c:pt>
                <c:pt idx="40">
                  <c:v>2.7826</c:v>
                </c:pt>
                <c:pt idx="41">
                  <c:v>3.3924</c:v>
                </c:pt>
                <c:pt idx="42">
                  <c:v>1.9696</c:v>
                </c:pt>
                <c:pt idx="43">
                  <c:v>2.1183</c:v>
                </c:pt>
                <c:pt idx="44">
                  <c:v>2.38973897389739</c:v>
                </c:pt>
                <c:pt idx="45">
                  <c:v>2.5989</c:v>
                </c:pt>
                <c:pt idx="46">
                  <c:v>2.8453</c:v>
                </c:pt>
                <c:pt idx="47">
                  <c:v>3.0274</c:v>
                </c:pt>
                <c:pt idx="48">
                  <c:v>4.08195571586013</c:v>
                </c:pt>
                <c:pt idx="49">
                  <c:v>4.10951095109511</c:v>
                </c:pt>
                <c:pt idx="50">
                  <c:v>3.80422168867547</c:v>
                </c:pt>
                <c:pt idx="51">
                  <c:v>3.78382706164932</c:v>
                </c:pt>
                <c:pt idx="52">
                  <c:v>3.70667200961731</c:v>
                </c:pt>
                <c:pt idx="53">
                  <c:v>3.3926177853356</c:v>
                </c:pt>
                <c:pt idx="54">
                  <c:v>3.39779889944973</c:v>
                </c:pt>
                <c:pt idx="55">
                  <c:v>3.59613845538215</c:v>
                </c:pt>
                <c:pt idx="56">
                  <c:v>3.53251300520208</c:v>
                </c:pt>
                <c:pt idx="57">
                  <c:v>3.41524914948969</c:v>
                </c:pt>
                <c:pt idx="58">
                  <c:v>3.35331798618757</c:v>
                </c:pt>
                <c:pt idx="59">
                  <c:v>3.27451961569255</c:v>
                </c:pt>
                <c:pt idx="60">
                  <c:v>3.45263157754737</c:v>
                </c:pt>
                <c:pt idx="61">
                  <c:v>3.094736843</c:v>
                </c:pt>
                <c:pt idx="62">
                  <c:v>3.03191489396809</c:v>
                </c:pt>
                <c:pt idx="63">
                  <c:v>2.52222222222222</c:v>
                </c:pt>
                <c:pt idx="64">
                  <c:v>2.5</c:v>
                </c:pt>
                <c:pt idx="65">
                  <c:v>3.47682119205298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1</c:f>
              <c:numCache>
                <c:formatCode>General</c:formatCode>
                <c:ptCount val="66"/>
                <c:pt idx="0">
                  <c:v>2.43757575757576</c:v>
                </c:pt>
                <c:pt idx="1">
                  <c:v>2.23542857142857</c:v>
                </c:pt>
                <c:pt idx="2">
                  <c:v>2.51751412429379</c:v>
                </c:pt>
                <c:pt idx="3">
                  <c:v>2.91567695961995</c:v>
                </c:pt>
                <c:pt idx="4">
                  <c:v>1.83906882591093</c:v>
                </c:pt>
                <c:pt idx="5">
                  <c:v>2.41964285714286</c:v>
                </c:pt>
                <c:pt idx="6">
                  <c:v>2.7953091684435</c:v>
                </c:pt>
                <c:pt idx="7">
                  <c:v>1.97040816326531</c:v>
                </c:pt>
                <c:pt idx="8">
                  <c:v>2.42857142857143</c:v>
                </c:pt>
                <c:pt idx="9">
                  <c:v>2.51160337552743</c:v>
                </c:pt>
                <c:pt idx="10">
                  <c:v>3.36733673367337</c:v>
                </c:pt>
                <c:pt idx="11">
                  <c:v>2.40869889419325</c:v>
                </c:pt>
                <c:pt idx="12">
                  <c:v>2.29522008997012</c:v>
                </c:pt>
                <c:pt idx="13">
                  <c:v>2.34251082003796</c:v>
                </c:pt>
                <c:pt idx="14">
                  <c:v>2.7691874270079</c:v>
                </c:pt>
                <c:pt idx="15">
                  <c:v>2.15619908214901</c:v>
                </c:pt>
                <c:pt idx="16">
                  <c:v>2.32158866346264</c:v>
                </c:pt>
                <c:pt idx="17">
                  <c:v>4</c:v>
                </c:pt>
                <c:pt idx="18">
                  <c:v>4</c:v>
                </c:pt>
                <c:pt idx="19">
                  <c:v>2.32372417335239</c:v>
                </c:pt>
                <c:pt idx="20">
                  <c:v>2.46005735575281</c:v>
                </c:pt>
                <c:pt idx="21">
                  <c:v>1.94814294173748</c:v>
                </c:pt>
                <c:pt idx="22">
                  <c:v>2.05992189938886</c:v>
                </c:pt>
                <c:pt idx="23">
                  <c:v>2.14031119599383</c:v>
                </c:pt>
                <c:pt idx="24">
                  <c:v>2.20415554991355</c:v>
                </c:pt>
                <c:pt idx="25">
                  <c:v>1.80285550242462</c:v>
                </c:pt>
                <c:pt idx="26">
                  <c:v>2.51050709885059</c:v>
                </c:pt>
                <c:pt idx="27">
                  <c:v>2.59361021501464</c:v>
                </c:pt>
                <c:pt idx="28">
                  <c:v>2.45859100842995</c:v>
                </c:pt>
                <c:pt idx="29">
                  <c:v>2.5153981312853</c:v>
                </c:pt>
                <c:pt idx="30">
                  <c:v>2.37998100206977</c:v>
                </c:pt>
                <c:pt idx="31">
                  <c:v>2.2073</c:v>
                </c:pt>
                <c:pt idx="32">
                  <c:v>2.4129</c:v>
                </c:pt>
                <c:pt idx="33">
                  <c:v>2.5806</c:v>
                </c:pt>
                <c:pt idx="34">
                  <c:v>2.9412</c:v>
                </c:pt>
                <c:pt idx="35">
                  <c:v>3.2992</c:v>
                </c:pt>
                <c:pt idx="36">
                  <c:v>3.36733673367337</c:v>
                </c:pt>
                <c:pt idx="37">
                  <c:v>1.4463</c:v>
                </c:pt>
                <c:pt idx="38">
                  <c:v>1.5411</c:v>
                </c:pt>
                <c:pt idx="39">
                  <c:v>1.8104</c:v>
                </c:pt>
                <c:pt idx="40">
                  <c:v>2.2612</c:v>
                </c:pt>
                <c:pt idx="41">
                  <c:v>2.7384</c:v>
                </c:pt>
                <c:pt idx="42">
                  <c:v>1.5945</c:v>
                </c:pt>
                <c:pt idx="43">
                  <c:v>1.7149</c:v>
                </c:pt>
                <c:pt idx="44">
                  <c:v>1.93319331933193</c:v>
                </c:pt>
                <c:pt idx="45">
                  <c:v>2.0994</c:v>
                </c:pt>
                <c:pt idx="46">
                  <c:v>2.2954</c:v>
                </c:pt>
                <c:pt idx="47">
                  <c:v>2.4802</c:v>
                </c:pt>
                <c:pt idx="48">
                  <c:v>3.36749824666867</c:v>
                </c:pt>
                <c:pt idx="49">
                  <c:v>3.38413841384138</c:v>
                </c:pt>
                <c:pt idx="50">
                  <c:v>3.1422569027611</c:v>
                </c:pt>
                <c:pt idx="51">
                  <c:v>3.11989591673339</c:v>
                </c:pt>
                <c:pt idx="52">
                  <c:v>3.0566018833901</c:v>
                </c:pt>
                <c:pt idx="53">
                  <c:v>2.85345603681104</c:v>
                </c:pt>
                <c:pt idx="54">
                  <c:v>2.85612806403202</c:v>
                </c:pt>
                <c:pt idx="55">
                  <c:v>2.98459383753501</c:v>
                </c:pt>
                <c:pt idx="56">
                  <c:v>2.9234693877551</c:v>
                </c:pt>
                <c:pt idx="57">
                  <c:v>2.81719031418851</c:v>
                </c:pt>
                <c:pt idx="58">
                  <c:v>2.76188569712741</c:v>
                </c:pt>
                <c:pt idx="59">
                  <c:v>2.68584867894315</c:v>
                </c:pt>
                <c:pt idx="60">
                  <c:v>2.90526315709474</c:v>
                </c:pt>
                <c:pt idx="61">
                  <c:v>2.621052632</c:v>
                </c:pt>
                <c:pt idx="62">
                  <c:v>2.56382978743617</c:v>
                </c:pt>
                <c:pt idx="63">
                  <c:v>1.97435897435897</c:v>
                </c:pt>
                <c:pt idx="64">
                  <c:v>2.03571428571429</c:v>
                </c:pt>
                <c:pt idx="65">
                  <c:v>2.8841059602649</c:v>
                </c:pt>
              </c:numCache>
            </c:numRef>
          </c:yVal>
          <c:smooth val="0"/>
        </c:ser>
        <c:axId val="68646156"/>
        <c:axId val="33057556"/>
      </c:scatterChart>
      <c:valAx>
        <c:axId val="6864615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057556"/>
        <c:crosses val="autoZero"/>
        <c:crossBetween val="midCat"/>
      </c:valAx>
      <c:valAx>
        <c:axId val="330575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Ring Index (0-8 rings)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86461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475560</xdr:colOff>
      <xdr:row>38</xdr:row>
      <xdr:rowOff>87840</xdr:rowOff>
    </xdr:to>
    <xdr:graphicFrame>
      <xdr:nvGraphicFramePr>
        <xdr:cNvPr id="0" name="Chart 1"/>
        <xdr:cNvGraphicFramePr/>
      </xdr:nvGraphicFramePr>
      <xdr:xfrm>
        <a:off x="0" y="0"/>
        <a:ext cx="7668720" cy="626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468720</xdr:colOff>
      <xdr:row>38</xdr:row>
      <xdr:rowOff>75960</xdr:rowOff>
    </xdr:to>
    <xdr:graphicFrame>
      <xdr:nvGraphicFramePr>
        <xdr:cNvPr id="1" name="Chart 1"/>
        <xdr:cNvGraphicFramePr/>
      </xdr:nvGraphicFramePr>
      <xdr:xfrm>
        <a:off x="0" y="0"/>
        <a:ext cx="7661880" cy="625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474480</xdr:colOff>
      <xdr:row>38</xdr:row>
      <xdr:rowOff>85320</xdr:rowOff>
    </xdr:to>
    <xdr:graphicFrame>
      <xdr:nvGraphicFramePr>
        <xdr:cNvPr id="2" name="Chart 1"/>
        <xdr:cNvGraphicFramePr/>
      </xdr:nvGraphicFramePr>
      <xdr:xfrm>
        <a:off x="0" y="0"/>
        <a:ext cx="7667640" cy="626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8" createdVersion="3">
  <cacheSource type="worksheet">
    <worksheetSource ref="A1:BW188" sheet="master_cultures"/>
  </cacheSource>
  <cacheFields count="75">
    <cacheField name="sampleName" numFmtId="0">
      <sharedItems count="184">
        <s v="Bale2019_001_Cultures_ThAOA_Ca_Nitrosotenuis uzonesis_P-GDGT_DH_37"/>
        <s v="Bale2019_002_Cultures_ThAOA_Ca_Nitrosotenuis uzonesis_P-GDGT_DH_46"/>
        <s v="Bale2019_003_Cultures_ThAOA_Ca_Nitrosotenuis uzonesis_P-GDGT_DH_50"/>
        <s v="Bale2019_004_Cultures_ThAOA_Ca_Nitrosotenuis uzonesis_P-GDGT_HPH_37"/>
        <s v="Bale2019_005_Cultures_ThAOA_Ca_Nitrosotenuis uzonesis_P-GDGT_HPH_46"/>
        <s v="Bale2019_006_Cultures_ThAOA_Ca_Nitrosotenuis uzonesis_P-GDGT_HPH_50"/>
        <s v="Bale2019_007_Cultures_ThAOA_Ca_Nitrosotenuis uzonesis_P-GDGT_MH_37"/>
        <s v="Bale2019_008_Cultures_ThAOA_Ca_Nitrosotenuis uzonesis_P-GDGT_MH_46"/>
        <s v="Bale2019_009_Cultures_ThAOA_Ca_Nitrosotenuis uzonesis_P-GDGT_MH_50"/>
        <s v="Bale2019_010_Cultures_ThAOA_Ca_Nitrosotenuis uzonesis_P-GDGT_TH1_37"/>
        <s v="Bale2019_011_Cultures_ThAOA_Ca_Nitrosotenuis uzonesis_P-GDGT_TH1_46"/>
        <s v="Bale2019_012_Cultures_ThAOA_Ca_Nitrosotenuis uzonesis_P-GDGT_TH1_50"/>
        <s v="Bale2019_013_Cultures_ThAOA_Ca_Nitrosotenuis uzonesis_P-GDGT_TH2_37"/>
        <s v="Bale2019_014_Cultures_ThAOA_Ca_Nitrosotenuis uzonesis_P-GDGT_TH2_46"/>
        <s v="Bale2019_015_Cultures_ThAOA_Ca_Nitrosotenuis uzonesis_P-GDGT_TH2_50"/>
        <s v="Bale2019_016_Cultures_ThAOA_Ca_Nitrosotenuis uzonesis_P-GDGT_HPH_37"/>
        <s v="Bale2019_017_Cultures_ThAOA_Ca_Nitrosotenuis uzonesis_P-GDGT_HPH_46"/>
        <s v="Bale2019_018_Cultures_ThAOA_Ca_Nitrosotenuis uzonesis_P-GDGT_HPH_50"/>
        <s v="Bale2019_019_Cultures_ThAOA_Ca_Nitrosotenuis uzonesis_C-GDGT_37"/>
        <s v="Bale2019_020_Cultures_ThAOA_Ca_Nitrosotenuis uzonesis_C-GDGT_46"/>
        <s v="Bale2019_021_Cultures_ThAOA_Ca_Nitrosotenuis uzonesis_C-GDGT_50"/>
        <s v="Boyd2011_Acidilobus_sulfurireducens_culture_T65_pH3_IonicStrength44.9"/>
        <s v="Boyd2011_Acidilobus_sulfurireducens_culture_T70_pH3_IonicStrength44.9"/>
        <s v="Boyd2011_Acidilobus_sulfurireducens_culture_T75_pH3_IonicStrength44.9"/>
        <s v="Boyd2011_Acidilobus_sulfurireducens_culture_T81_pH3_IonicStrength10.1"/>
        <s v="Boyd2011_Acidilobus_sulfurireducens_culture_T81_pH3_IonicStrength15.0"/>
        <s v="Boyd2011_Acidilobus_sulfurireducens_culture_T81_pH3_IonicStrength22.3"/>
        <s v="Boyd2011_Acidilobus_sulfurireducens_culture_T81_pH3_IonicStrength27.8"/>
        <s v="Boyd2011_Acidilobus_sulfurireducens_culture_T81_pH3_IonicStrength38"/>
        <s v="Boyd2011_Acidilobus_sulfurireducens_culture_T81_pH3_IonicStrength44.9"/>
        <s v="Boyd2011_Acidilobus_sulfurireducens_culture_T81_pH3_IonicStrength55.7"/>
        <s v="Boyd2011_Acidilobus_sulfurireducens_culture_T81_pH3.5_IonicStrength43.3"/>
        <s v="Boyd2011_Acidilobus_sulfurireducens_culture_T81_pH4_IonicStrength43.1"/>
        <s v="Boyd2011_Acidilobus_sulfurireducens_culture_T81_pH4.5_IonicStrength43.1"/>
        <s v="Boyd2011_Acidilobus_sulfurireducens_culture_T81_pH5.0_IonicStrength43.1"/>
        <s v="Elling_etal_unpubl_Ca_Nitrosomarinus catalina SPOT1_Marine_T15"/>
        <s v="Elling_etal_unpubl_Ca_Nitrosomarinus catalina SPOT1_Marine_T17"/>
        <s v="Elling_etal_unpubl_Ca_Nitrosomarinus catalina SPOT1_Marine_T20"/>
        <s v="Elling_etal_unpubl_Ca_Nitrosomarinus catalina SPOT1_Marine_T23"/>
        <s v="Elling_etal_unpubl_Nitropelagicus brevis CN25_Marine_T20"/>
        <s v="Elling_etal_unpubl_Nitrosarchaeum koreense MY1T_Soil_T20"/>
        <s v="Elling_etal_unpubl_Nitrosarchaeum koreense MY1T_Soil_T23"/>
        <s v="Elling_etal_unpubl_Nitrosarchaeum koreense MY1T_Soil_T25"/>
        <s v="Elling_etal_unpubl_Nitrosarchaeum koreense MY1T_Soil_T29"/>
        <s v="Elling_etal_unpubl_Nitrosarchaeum koreense MY1T_Soil_T32"/>
        <s v="Elling_etal_unpubl_Nitrosopumilus adriaticus CCS1_Marine_T15"/>
        <s v="Elling_etal_unpubl_Nitrosopumilus adriaticus CCS1_Marine_T20"/>
        <s v="Elling_etal_unpubl_Nitrosopumilus adriaticus CCS1_Marine_T25"/>
        <s v="Elling_etal_unpubl_Nitrosopumilus adriaticus CCS1_Marine_T30"/>
        <s v="Elling_etal_unpubl_Nitrosopumilus piranensis D3C_Marine_T18"/>
        <s v="Elling_etal_unpubl_Nitrosopumilus piranensis D3C_Marine_T23"/>
        <s v="Elling_etal_unpubl_Nitrosopumilus piranensis D3C_Marine_T28"/>
        <s v="Elling_etal_unpubl_Nitrosopumilus piranensis D3C_Marine_T32"/>
        <s v="Elling_etal_unpubl_Nitrososphaera viennensis EN76_Soil_T32"/>
        <s v="Elling_etal_unpubl_Nitrososphaera viennensis EN76_Soil_T37"/>
        <s v="Elling_etal_unpubl_Nitrososphaera viennensis EN76_Soil_T42"/>
        <s v="Elling_etal_unpubl_Nitrososphaera viennensis EN76_Soil_T47"/>
        <s v="Elling2015_Culture_NA0A2_18"/>
        <s v="Elling2015_Culture_NA0A2_22"/>
        <s v="Elling2015_Culture_NA0A2_28"/>
        <s v="Elling2015_Culture_NA0A2_35"/>
        <s v="Elling2015_Culture_NA0A6_18"/>
        <s v="Elling2015_Culture_NA0A6_22"/>
        <s v="Elling2015_Culture_NA0A6_28"/>
        <s v="Elling2015_Culture_SCM1_22"/>
        <s v="Elling2015_Culture_SCM1_25"/>
        <s v="Elling2015_Culture_SCM1_28"/>
        <s v="Elling2015_Culture_SCM1_35"/>
        <s v="Elling2017_culture_marineAOA_1G_P-GDGT_Nitrosopumilus adriaticus NF5"/>
        <s v="Elling2017_culture_marineAOA_1G_P-GDGT_Nitrosopumilus maritimus SCM1"/>
        <s v="Elling2017_culture_marineAOA_1G_P-GDGT_Nitrosopumilus piranensis D3C"/>
        <s v="Elling2017_culture_marineAOA_1G_P-GDGT_Strain NAOA2"/>
        <s v="Elling2017_culture_marineAOA_1G_P-GDGT_Strain NAOA6"/>
        <s v="Elling2017_culture_marineAOA_2G_P-GDGT_Nitrosopumilus adriaticus NF5"/>
        <s v="Elling2017_culture_marineAOA_2G_P-GDGT_Nitrosopumilus maritimus SCM1"/>
        <s v="Elling2017_culture_marineAOA_2G_P-GDGT_Nitrosopumilus piranensis D3C"/>
        <s v="Elling2017_culture_marineAOA_2G_P-GDGT_Strain NAOA2"/>
        <s v="Elling2017_culture_marineAOA_2G_P-GDGT_Strain NAOA6"/>
        <s v="Elling2017_culture_marineAOA_total_IPLs_Nitrosopumilus adriaticus NF5"/>
        <s v="Elling2017_culture_marineAOA_total_IPLs_Nitrosopumilus maritimus SCM1"/>
        <s v="Elling2017_culture_marineAOA_total_IPLs_Nitrosopumilus piranensis D3C"/>
        <s v="Elling2017_culture_marineAOA_total_IPLs_Strain NAOA2"/>
        <s v="Elling2017_culture_marineAOA_total_IPLs_Strain NAOA6"/>
        <s v="Elling2017_culture_marineAOA_totalGDGTs_Nitrosopumilus adriaticus"/>
        <s v="Elling2017_culture_marineAOA_totalGDGTs_Nitrosopumilus maritimus"/>
        <s v="Elling2017_culture_marineAOA_totalGDGTs_Nitrosopumilus piranensis D3C"/>
        <s v="Elling2017_culture_marineAOA_totalGDGTs_Strain NAOA2"/>
        <s v="Elling2017_culture_marineAOA_totalGDGTs_Strain NAOA6"/>
        <s v="Elling2017_culture_ThAOA_1G_P-GDGT_Nitrosocaldus yellowstonii"/>
        <s v="Elling2017_culture_ThAOA_1G_P-GDGT_Nitrososphaera gargensis Ga9.2_46degC_pH7.8_stationaryPhase"/>
        <s v="Elling2017_culture_ThAOA_2G_P-GDGT_Nitrososphaera gargensis  Ga9.2_46degC_pH7.8_stationaryPhase"/>
        <s v="Elling2017_culture_ThAOA_total_IPLs_Nitrososphaera gargensis Ga9.2_46degC_pH7.8_stationaryPhase"/>
        <s v="Elling2017_culture_ThAOA_totalGDGTs_Nitrosocaldus yellowstonii"/>
        <s v="Elling2017_culture_ThAOA_totalGDGTs_Nitrososphaera gargensis Ga9.2_35degC_pH7.8_stationaryPhase"/>
        <s v="Elling2017_culture_ThAOA_totalGDGTs_Nitrososphaera gargensis Ga9.2_46degC_pH7.8_stationaryPhase"/>
        <s v="Feyhl-Buska2016_Picrophilus torridus_Culture-C-GDGT_T53_pH0.7_growthLog"/>
        <s v="Feyhl-Buska2016_Picrophilus torridus_Culture-C-GDGT_T58_pH0.3_growthLog"/>
        <s v="Feyhl-Buska2016_Picrophilus torridus_Culture-C-GDGT_T58_pH0.5_growthLog"/>
        <s v="Feyhl-Buska2016_Picrophilus torridus_Culture-C-GDGT_T58_pH0.7_earlyLog"/>
        <s v="Feyhl-Buska2016_Picrophilus torridus_Culture-C-GDGT_T58_pH0.7_growthDeath"/>
        <s v="Feyhl-Buska2016_Picrophilus torridus_Culture-C-GDGT_T58_pH0.7_growthLog"/>
        <s v="Feyhl-Buska2016_Picrophilus torridus_Culture-C-GDGT_T58_pH0.7_Lag"/>
        <s v="Feyhl-Buska2016_Picrophilus torridus_Culture-C-GDGT_T58_pH0.7_lateLog"/>
        <s v="Feyhl-Buska2016_Picrophilus torridus_Culture-C-GDGT_T58_pH0.9_growthLog"/>
        <s v="Feyhl-Buska2016_Picrophilus torridus_Culture-C-GDGT_T58_pH1.1_growthLog"/>
        <s v="Feyhl-Buska2016_Picrophilus torridus_Culture-C-GDGT_T63_pH0.7_growthLog"/>
        <s v="Feyhl-Buska2016_Picrophilus torridus_Culture-IPL-GDGT_T53_pH0.7_growthLog"/>
        <s v="Feyhl-Buska2016_Picrophilus torridus_Culture-IPL-GDGT_T58_pH0.3_growthLog"/>
        <s v="Feyhl-Buska2016_Picrophilus torridus_Culture-IPL-GDGT_T58_pH0.5_growthLog"/>
        <s v="Feyhl-Buska2016_Picrophilus torridus_Culture-IPL-GDGT_T58_pH0.7_earlyLog"/>
        <s v="Feyhl-Buska2016_Picrophilus torridus_Culture-IPL-GDGT_T58_pH0.7_growthDeath"/>
        <s v="Feyhl-Buska2016_Picrophilus torridus_Culture-IPL-GDGT_T58_pH0.7_growthLog"/>
        <s v="Feyhl-Buska2016_Picrophilus torridus_Culture-IPL-GDGT_T58_pH0.7_Lag"/>
        <s v="Feyhl-Buska2016_Picrophilus torridus_Culture-IPL-GDGT_T58_pH0.7_lateLog"/>
        <s v="Feyhl-Buska2016_Picrophilus torridus_Culture-IPL-GDGT_T58_pH0.9_growthLog"/>
        <s v="Feyhl-Buska2016_Picrophilus torridus_Culture-IPL-GDGT_T58_pH1.1_growthLog"/>
        <s v="Feyhl-Buska2016_Picrophilus torridus_Culture-IPL-GDGT_T63_pH0.7_growthLog"/>
        <s v="Hurley2016_N_maritimus SCM1_T28_pH7.6_fastGrowthRate"/>
        <s v="Hurley2016_N_maritimus SCM1_T28_pH7.6_intermediateGrowthRate"/>
        <s v="Hurley2016_N. maritimus SCM1_T28_pH7.6_slowGrowthRate"/>
        <s v="Jung2011_Ca_Nitrosoarchaeum koreense MY1T_culture_T25"/>
        <s v="Jung2014_Ca_Nitrosotenuis chungbukensis MY2_culture_T25"/>
        <s v="Jung2016_Ca_Nitrosocosmicus oleophilus MY3_culture_T30"/>
        <s v="Pearson2008_026_Pure Cultures-Acidilobus aceticus 1904_T82_pH3.5"/>
        <s v="Pearson2008_027_Pure Cultures-Acidilobus saccharovorans 345-15_T82_pH3.5"/>
        <s v="Pearson2008_028_Pure Cultures-Metallosphaera sedula DSM 5348_T75_[H4.5"/>
        <s v="Pearson2008_029_Pure Cultures-Sulfolobus solfataricus P2_T85_pH4.5"/>
        <s v="Pearson2008_030_Pure Cultures-Vulcanisaeta moutnovskia 768-28_T85_pH4.5"/>
        <s v="Pearson2008_032_Pure Cultures-Desulfurococcus fermentans Z-1312_T85_pH6.0"/>
        <s v="Pearson2008_033_Pure Cultures-Desulfurococcus amylolyticus Z-533_T85_6.5"/>
        <s v="Pearson2008_034_Pure Cultures-Thermoproteus uzoniensis Z-605_T85_5.5"/>
        <s v="Pitcher2010_001_ThAOA cultures-Ca. Nitrososphaera gargensis-Ga9.2_46a"/>
        <s v="Pitcher2010_002_ThAOA cultures-Ca. Nitrososphaera gargensis-Ga9.2_42"/>
        <s v="Pitcher2010_003_ThAOA cultures-Ca. Nitrososphaera gargensis-Ga9.2_50"/>
        <s v="Pitcher2010_004_ThAOA cultures-Ca. Nitrososphaera gargensis-Ga9.2_46"/>
        <s v="Pitcher2011_AR1_T25_pH8.2"/>
        <s v="Pitcher2011_Ca Nitrosoarchaeum limnia SFB1_T22_pH"/>
        <s v="Pitcher2011_SJ_T25_pH8.2"/>
        <s v="Qin2015_001_Nitrosopumilus maritimus SCM1_Culture_T15"/>
        <s v="Qin2015_002_Nitrosopumilus maritimus SCM1_Culture_T20"/>
        <s v="Qin2015_003_Nitrosopumilus maritimus SCM1_Culture_T25"/>
        <s v="Qin2015_004_Nitrosopumilus maritimus SCM1_Culture_T30"/>
        <s v="Qin2015_005_Nitrosopumilus maritimus SCM1_Culture_T33"/>
        <s v="Qin2015_006_Nitrosopumilus maritimus SCM1_Culture_T35"/>
        <s v="Qin2015_007_Nitrosopumilus cobalaminigenes HCA1_Culture_T10"/>
        <s v="Qin2015_008_Nitrosopumilus cobalaminigenes HCA1_Culture_T15"/>
        <s v="Qin2015_009_Nitrosopumilus cobalaminigenes HCA1_Culture_T20"/>
        <s v="Qin2015_010_Nitrosopumilus cobalaminigenes HCA1_Culture_T25"/>
        <s v="Qin2015_011_Nitrosopumilus cobalaminigenes HCA1_Culture_T30"/>
        <s v="Qin2015_012_Nitrosopumilus oxyclinae HCE1_Culture_T10"/>
        <s v="Qin2015_013_Nitrosopumilus oxyclinae HCE1_Culture_T15"/>
        <s v="Qin2015_014_Nitrosopumilus oxyclinae HCE1_Culture_T20"/>
        <s v="Qin2015_015_Nitrosopumilus oxyclinae HCE1_Culture_T22"/>
        <s v="Qin2015_016_Nitrosopumilus oxyclinae HCE1_Culture_T25"/>
        <s v="Qin2015_017_Nitrosopumilus ureiphilus PS0_Culture_T25"/>
        <s v="Qin2015_018_Nitrosopumilus maritimus SCM1_T30_oxy01"/>
        <s v="Qin2015_019_Nitrosopumilus maritimus SCM1_T30_oxy1"/>
        <s v="Qin2015_020_Nitrosopumilus maritimus SCM1_T30_oxy5"/>
        <s v="Qin2015_021_Nitrosopumilus maritimus SCM1_T30_oxy10"/>
        <s v="Qin2015_022_Nitrosopumilus maritimus SCM1_T30_oxy21"/>
        <s v="Qin2015_023_Nitrosopumilus ureiphilus PS0_T26_oxy01"/>
        <s v="Qin2015_024_Nitrosopumilus ureiphilus PS0_T26_oxy02"/>
        <s v="Qin2015_025_Nitrosopumilus ureiphilus PS0_T26_oxy05"/>
        <s v="Qin2015_026_Nitrosopumilus ureiphilus PS0_T26_oxy1"/>
        <s v="Qin2015_027_Nitrosopumilus ureiphilus PS0_T26_oxy5"/>
        <s v="Qin2015_028_Nitrosopumilus ureiphilus PS0_T26_oxy10"/>
        <s v="Qin2015_029_Nitrosopumilus ureiphilus PS0_T26_oxy21"/>
        <s v="Schouten2008_Nitrosopumilus maritimus SCM1_culture_T28_pH7.1"/>
        <s v="SinningheDamste2012_Ca_Nitrosoarchaeum koreensis MY1T_T25_pH6.9"/>
        <s v="SinningheDamste2012_Ca_Nitrososphaera JG1_T37_pH6.5"/>
        <s v="SinningheDamste2012_Nitrososphaera viennensis EN76_T37_pH7.5"/>
        <s v="SinningheDamster2002_Ca_Cenarchaeum symbiosum A_culture_T10"/>
        <s v="Varma2024_Nitrosopumilus adriaticus NF5_culture_C-GDGT_T20_midExpo"/>
        <s v="Varma2024_Nitrosopumilus adriaticus NF5_culture_C-GDGT_T20_stationaryPhase"/>
        <s v="Varma2024_Nitrosopumilus adriaticus NF5_culture_C-GDGT_T25_midExpo"/>
        <s v="Varma2024_Nitrosopumilus adriaticus NF5_culture_C-GDGT_T25_stationaryPhase"/>
        <s v="Varma2024_Nitrosopumilus adriaticus NF5_culture_C-GDGT_T30_midExpo"/>
        <s v="Varma2024_Nitrosopumilus adriaticus NF5_culture_C-GDGT_T30_stationaryPhase"/>
        <s v="Varma2024_Nitrosopumilus piranesis D3C_culture_C-GDGT_T25_midExpo"/>
        <s v="Varma2024_Nitrosopumilus piranesis D3C_culture_C-GDGT_T25_stationaryPhase"/>
        <s v="Varma2024_Nitrosopumilus piranesis D3C_culture_C-GDGT_T30_midExpo"/>
        <s v="Varma2024_Nitrosopumilus piranesis D3C_culture_C-GDGT_T30_stationaryPhase"/>
        <s v="Varma2024_Nitrosopumilus piranesis D3C_culture_C-GDGT_T35_midExpo"/>
        <s v="Varma2024_Nitrosopumilus piranesis D3C_culture_C-GDGT_T35_stationaryPhase"/>
      </sharedItems>
    </cacheField>
    <cacheField name="Strains" numFmtId="0">
      <sharedItems containsMixedTypes="1" containsNumber="1" containsInteger="1" minValue="1904" maxValue="1904" count="33">
        <n v="1904"/>
        <s v="345-15"/>
        <s v="768-28"/>
        <s v="7A"/>
        <s v="A"/>
        <s v="AR1"/>
        <s v="CCS1"/>
        <s v="CN25"/>
        <s v="D3C"/>
        <s v="DSM 16532"/>
        <s v="DSM 5263; Z-605 (768-20)"/>
        <s v="DSM 5348"/>
        <s v="DSM 9790"/>
        <s v="EN76"/>
        <s v="Ga9.2"/>
        <s v="HCA1"/>
        <s v="HCE1"/>
        <s v="HL72"/>
        <s v="JG1"/>
        <s v="MY1T"/>
        <s v="MY2"/>
        <s v="MY3"/>
        <s v="N4"/>
        <s v="NAOA2"/>
        <s v="NAOA6"/>
        <s v="NF5"/>
        <s v="P2"/>
        <s v="PS0"/>
        <s v="SCM1"/>
        <s v="SFB1"/>
        <s v="SJ"/>
        <s v="SPOT1"/>
        <s v="Z-533 (or DSM 3822)"/>
      </sharedItems>
    </cacheField>
    <cacheField name="organism_reported_names" numFmtId="0">
      <sharedItems count="34">
        <s v="Acidilobus aceticus 1904"/>
        <s v="Acidilobus saccharovorans 345-15"/>
        <s v="Acidilobus sulfurireducens 7A"/>
        <s v="Ca Nitrososphaera JG1"/>
        <s v="Ca. Nitrosarchaeum limnia SFB1"/>
        <s v="Ca. Nitrosocaldus yellowstonensis HL72"/>
        <s v="Ca. Nitrosocosmicus oleophilus MY3"/>
        <s v="Ca. Nitrosomarinus catalina SPOT1"/>
        <s v="Ca. Nitrosopumilus sp. NAOA2"/>
        <s v="Ca. Nitrosopumilus sp. NAOA6"/>
        <s v="Ca. Nitrososphaera gargensis Ga9.2"/>
        <s v="Ca. Nitrosotenuis chungbukensis MY2"/>
        <s v="Ca. Nitrosotenuis uzonensis N4"/>
        <s v="Candidatus Nitrosopumilus sp. NAOA6"/>
        <s v="Cenarchaeum symbiosum A"/>
        <s v="Desulfurococcus amylolyticus DSM 16532"/>
        <s v="Desulfurococcus amylolyticus Z-533"/>
        <s v="Metallosphaera sedula DSM 5348"/>
        <s v="Nitropelagicus brevis CN25"/>
        <s v="Nitrosarchaeum koreense MY1T"/>
        <s v="Nitrosopumilus adriaticus CCS1"/>
        <s v="Nitrosopumilus adriaticus NF5"/>
        <s v="Nitrosopumilus cobalaminigenes HCA1"/>
        <s v="Nitrosopumilus koreensis AR1"/>
        <s v="Nitrosopumilus maritimus SCM1"/>
        <s v="Nitrosopumilus oxyclinae HCE1"/>
        <s v="Nitrosopumilus piranensis D3C"/>
        <s v="Nitrosopumilus sp. SJ"/>
        <s v="Nitrosopumilus ureiphilus PS0"/>
        <s v="Nitrososphaera viennensis EN76"/>
        <s v="Picrophilus torridus"/>
        <s v="Sulfolobus solfataricus P2"/>
        <s v="Thermoproteus uzoniensis Z-605"/>
        <s v="Vulcanisaeta moutnovskia 768-28"/>
      </sharedItems>
    </cacheField>
    <cacheField name="phyloT_order" numFmtId="0">
      <sharedItems containsSemiMixedTypes="0" containsString="0" containsNumber="1" minValue="1" maxValue="25.1" count="29">
        <n v="1"/>
        <n v="2"/>
        <n v="3"/>
        <n v="4"/>
        <n v="5"/>
        <n v="5.1"/>
        <n v="5.2"/>
        <n v="6"/>
        <n v="7"/>
        <n v="7.1"/>
        <n v="8"/>
        <n v="8.1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.1"/>
      </sharedItems>
    </cacheField>
    <cacheField name="GTDB_phylum" numFmtId="0">
      <sharedItems count="3">
        <s v=" p__Thermoproteota"/>
        <s v="p__Thermoplasmatota"/>
        <s v="p__Thermoproteota"/>
      </sharedItems>
    </cacheField>
    <cacheField name="GTDB_class" numFmtId="0">
      <sharedItems count="5">
        <s v=" c__Nitrososphaeria"/>
        <s v="c__Nitrososphaeria"/>
        <s v="c__Thermoplasmata"/>
        <s v="c__Thermoprotei"/>
        <s v="c__Thermoprotei_A"/>
      </sharedItems>
    </cacheField>
    <cacheField name="GTDB_order" numFmtId="0">
      <sharedItems count="5">
        <s v=" o__Nitrososphaerales"/>
        <s v="o__Nitrososphaerales"/>
        <s v="o__Sulfolobales"/>
        <s v="o__Thermoplasmatales"/>
        <s v="o__Thermoproteales"/>
      </sharedItems>
    </cacheField>
    <cacheField name="GTDB_family" numFmtId="0">
      <sharedItems count="10">
        <s v=" f__Nitrosopumilaceae"/>
        <s v="f__Acidilobaceae"/>
        <s v="f__Desulfurococcaceae"/>
        <s v="f__Nitrosocaldaceae"/>
        <s v="f__Nitrosopumilaceae"/>
        <s v="f__Nitrososphaeraceae"/>
        <s v="f__Sulfolobaceae"/>
        <s v="f__Thermocladiaceae"/>
        <s v="f__Thermoplasmataceae"/>
        <s v="f__Thermoproteaceae"/>
      </sharedItems>
    </cacheField>
    <cacheField name="GTDB_genus" numFmtId="0">
      <sharedItems count="16">
        <s v=" g__Nitrosopelagicus"/>
        <s v=" g__Nitrosopumilus"/>
        <s v="g__Acidilobus"/>
        <s v="g__Cenarchaeum"/>
        <s v="g__Desulfurococcus"/>
        <s v="g__Metallosphaera"/>
        <s v="g__Nitrosarchaeum"/>
        <s v="g__Nitrosocaldus"/>
        <s v="g__Nitrosocosmicus"/>
        <s v="g__Nitrosopumilus"/>
        <s v="g__Nitrososphaera"/>
        <s v="g__Nitrosotenuis"/>
        <s v="g__Picrophilus"/>
        <s v="g__Saccharolobus"/>
        <s v="g__Thermoproteus"/>
        <s v="g__Vulcanisaeta"/>
      </sharedItems>
    </cacheField>
    <cacheField name="GTDB_species" numFmtId="0">
      <sharedItems containsBlank="1" count="12">
        <s v=" s__Nitrosopelagicus brevis"/>
        <s v=" s__Nitrosopumilus catalinensis"/>
        <s v="s__Acidilobus sp003431325"/>
        <s v="s__Acidolobus aceticus"/>
        <s v="s__Nitrosoarchaeum koreensis"/>
        <s v="s__Nitrosopumilus adriaticus"/>
        <s v="s__Nitrosopumilus maritimus"/>
        <s v="s__Nitrosopumilus ureiphilus"/>
        <s v="s__Nitrososphaera viennensis"/>
        <s v="s_Acidilobus saccharovorans"/>
        <s v="s_Nirosopumilus piranensis"/>
        <m/>
      </sharedItems>
    </cacheField>
    <cacheField name="NCBI_phylum" numFmtId="0">
      <sharedItems count="3">
        <s v="p__Ca. Thermoplasmatota"/>
        <s v="p__Nitrososphaerota"/>
        <s v="p__Thermoproteota"/>
      </sharedItems>
    </cacheField>
    <cacheField name="NCBI_class" numFmtId="0">
      <sharedItems count="6">
        <s v=" c__Nitrososphaeria"/>
        <s v=" x__Nitrososphaerota incertae sedis"/>
        <s v="c__"/>
        <s v="c__Nitrososphaeria"/>
        <s v="c__Thermoplasmata"/>
        <s v="c__Thermoprotei"/>
      </sharedItems>
    </cacheField>
    <cacheField name="NCBI_order" numFmtId="0">
      <sharedItems count="12">
        <s v=" o__Nitrosopumilales"/>
        <s v=" x__Nitrososphaerota incertae sedis"/>
        <s v="o__"/>
        <s v="o__Acidilobales"/>
        <s v="o__Ca. Nitrosocaldales"/>
        <s v="o__Cenarchaeales"/>
        <s v="o__Desulfurococcales"/>
        <s v="o__Nitrosopumilales"/>
        <s v="o__Nitrososphaerales"/>
        <s v="o__Sulfolobales"/>
        <s v="o__Thermoplasmatales"/>
        <s v="o__Thermoproteales"/>
      </sharedItems>
    </cacheField>
    <cacheField name="NCBI_family" numFmtId="0">
      <sharedItems count="12">
        <s v=" f__Nitrosopumilaceae"/>
        <s v=" x__Nitrososphaerota incertae sedis"/>
        <s v="f__"/>
        <s v="f__Acidilobaceae"/>
        <s v="f__Ca. Nitrosocaldaceae"/>
        <s v="f__Cenarchaeaceae"/>
        <s v="f__Desulfurococcaceae"/>
        <s v="f__Nitrosopumilaceae"/>
        <s v="f__Nitrososphaeraceae"/>
        <s v="f__Picrophilaceae"/>
        <s v="f__Sulfolobaceae"/>
        <s v="f__Thermoproteaceae"/>
      </sharedItems>
    </cacheField>
    <cacheField name="NCBI_genus" numFmtId="0">
      <sharedItems count="16">
        <s v=" g__Ca. Nitrosomarinus"/>
        <s v=" g__Ca. Nitrosopelagicus"/>
        <s v="g__Acidilobus"/>
        <s v="g__Ca. Nitrosocaldus"/>
        <s v="g__Cenarchaeum"/>
        <s v="g__Desulfurococcus"/>
        <s v="g__Metallosphaera"/>
        <s v="g__Nitrosarchaeum"/>
        <s v="g__Nitrosocosmicus"/>
        <s v="g__Nitrosopumilus"/>
        <s v="g__Nitrososphaera"/>
        <s v="g__Nitrosotenuis"/>
        <s v="g__Picrophilus"/>
        <s v="g__Saccharolobus"/>
        <s v="g__Thermoproteus"/>
        <s v="g__Vulcanisaeta"/>
      </sharedItems>
    </cacheField>
    <cacheField name="NCBI_species" numFmtId="0">
      <sharedItems containsBlank="1" count="12">
        <s v=" s__Ca. Nitrosomarinus catalina "/>
        <s v=" s__Ca. Nitrosopelagicus brevis "/>
        <s v="s__Acidilobus sp. 7A "/>
        <s v="s__Acidolobus aceticus"/>
        <s v="s__Nitrosoarchaeum koreensis"/>
        <s v="s__Nitrosopumilus adriaticus"/>
        <s v="s__Nitrosopumilus maritimus"/>
        <s v="s__Nitrosopumilus ureiphilus"/>
        <s v="s__Nitrososphaera viennensis"/>
        <s v="s_Acidilobus saccharovorans"/>
        <s v="s_Nirosopumilus piranensis"/>
        <m/>
      </sharedItems>
    </cacheField>
    <cacheField name="organism_broadClass" numFmtId="0">
      <sharedItems containsBlank="1" count="9">
        <s v="Hyperthermophilic"/>
        <s v="Marine mesophile"/>
        <s v="Soil mesophile"/>
        <s v="Terrestrial hyperthermophilic"/>
        <s v="Terrestrial mesophile"/>
        <s v="Terrestrial thermoacidophile"/>
        <s v="Terrestrial thermophile"/>
        <s v="Thermoacidophile"/>
        <m/>
      </sharedItems>
    </cacheField>
    <cacheField name="organism_broadClass2" numFmtId="0">
      <sharedItems containsBlank="1" count="9">
        <s v="Acidilobaceae"/>
        <s v="Desulfurococcaceae"/>
        <s v="Group 1.1a"/>
        <s v="Group 1.1b"/>
        <s v="HWCG-III"/>
        <s v="Picrophilaceae"/>
        <s v="Sulfolobaceae"/>
        <s v="Thermoproteaceae"/>
        <m/>
      </sharedItems>
    </cacheField>
    <cacheField name="organism_broadClass3" numFmtId="0">
      <sharedItems containsBlank="1" count="9">
        <s v="Acidilobaceae"/>
        <s v="Desulfurococcaceae"/>
        <s v="Group 1.1a-Nitrosopumilus"/>
        <s v="Group 1.1b-Nitrososphaera"/>
        <s v="HWCG-III-Nitrosocaldus"/>
        <s v="Picrophilaceae"/>
        <s v="Sulfolobaceae"/>
        <s v="Thermoproteaceae"/>
        <m/>
      </sharedItems>
    </cacheField>
    <cacheField name="organism_genomes_combined_WGS_PGS" numFmtId="0">
      <sharedItems containsBlank="1" count="3">
        <s v="not_sequenced"/>
        <s v="sequenced"/>
        <m/>
      </sharedItems>
    </cacheField>
    <cacheField name="isolate_from" numFmtId="0">
      <sharedItems containsBlank="1" count="11">
        <s v="a nearshore marine surface sediment in Seattle"/>
        <s v="a tropical marine fish tank at the Seattle Aquarium in Seattle"/>
        <s v="acidic hot spring"/>
        <s v="coastal marine sediments from South Korea"/>
        <s v="coastal marine sediments from Svalbard, Norway"/>
        <s v="coastal seawater from California"/>
        <s v="coastal surface water"/>
        <s v="marine sediments taken from the San Francisco Bay estuary"/>
        <s v="mixture of water and mud from an acidic terrestrial hot pool"/>
        <s v="South Atlantic surface water"/>
        <m/>
      </sharedItems>
    </cacheField>
    <cacheField name="geographic_location" numFmtId="0">
      <sharedItems containsBlank="1" count="11">
        <s v="California"/>
        <s v="Katchatka"/>
        <s v="Katchatka, Orange Thermal Field"/>
        <s v="North Adriatic Sea"/>
        <s v="San Francisco Bay estuary"/>
        <s v="South Atlantic; Benguela upwelling system"/>
        <s v="South Korea"/>
        <s v="Svalbard, Norway"/>
        <s v="Washington"/>
        <s v="Yellowstone"/>
        <m/>
      </sharedItems>
    </cacheField>
    <cacheField name="sampleID_new" numFmtId="0">
      <sharedItems count="188">
        <s v="RR_culture_001"/>
        <s v="RR_culture_002"/>
        <s v="RR_culture_003"/>
        <s v="RR_culture_004"/>
        <s v="RR_culture_005"/>
        <s v="RR_culture_006"/>
        <s v="RR_culture_007"/>
        <s v="RR_culture_008"/>
        <s v="RR_culture_009"/>
        <s v="RR_culture_010"/>
        <s v="RR_culture_011"/>
        <s v="RR_culture_012"/>
        <s v="RR_culture_013"/>
        <s v="RR_culture_014"/>
        <s v="RR_culture_015"/>
        <s v="RR_culture_016"/>
        <s v="RR_culture_017"/>
        <s v="RR_culture_018"/>
        <s v="RR_culture_019"/>
        <s v="RR_culture_020"/>
        <s v="RR_culture_021"/>
        <s v="RR_culture_022"/>
        <s v="RR_culture_023"/>
        <s v="RR_culture_024"/>
        <s v="RR_culture_025"/>
        <s v="RR_culture_026"/>
        <s v="RR_culture_027"/>
        <s v="RR_culture_028"/>
        <s v="RR_culture_029"/>
        <s v="RR_culture_030"/>
        <s v="RR_culture_031"/>
        <s v="RR_culture_032"/>
        <s v="RR_culture_033"/>
        <s v="RR_culture_034"/>
        <s v="RR_culture_035"/>
        <s v="RR_culture_036"/>
        <s v="RR_culture_037"/>
        <s v="RR_culture_038"/>
        <s v="RR_culture_039"/>
        <s v="RR_culture_040"/>
        <s v="RR_culture_041"/>
        <s v="RR_culture_042"/>
        <s v="RR_culture_043"/>
        <s v="RR_culture_044"/>
        <s v="RR_culture_045"/>
        <s v="RR_culture_046"/>
        <s v="RR_culture_047"/>
        <s v="RR_culture_048"/>
        <s v="RR_culture_049"/>
        <s v="RR_culture_050"/>
        <s v="RR_culture_051"/>
        <s v="RR_culture_052"/>
        <s v="RR_culture_053"/>
        <s v="RR_culture_054"/>
        <s v="RR_culture_055"/>
        <s v="RR_culture_056"/>
        <s v="RR_culture_057"/>
        <s v="RR_culture_058"/>
        <s v="RR_culture_059"/>
        <s v="RR_culture_060"/>
        <s v="RR_culture_061"/>
        <s v="RR_culture_062"/>
        <s v="RR_culture_063"/>
        <s v="RR_culture_064"/>
        <s v="RR_culture_065"/>
        <s v="RR_culture_066"/>
        <s v="RR_culture_067"/>
        <s v="RR_culture_068"/>
        <s v="RR_culture_069"/>
        <s v="RR_culture_070"/>
        <s v="RR_culture_071"/>
        <s v="RR_culture_072"/>
        <s v="RR_culture_073"/>
        <s v="RR_culture_074"/>
        <s v="RR_culture_075"/>
        <s v="RR_culture_076"/>
        <s v="RR_culture_077"/>
        <s v="RR_culture_078"/>
        <s v="RR_culture_079"/>
        <s v="RR_culture_080"/>
        <s v="RR_culture_081"/>
        <s v="RR_culture_082"/>
        <s v="RR_culture_083"/>
        <s v="RR_culture_084"/>
        <s v="RR_culture_085"/>
        <s v="RR_culture_086"/>
        <s v="RR_culture_087"/>
        <s v="RR_culture_088"/>
        <s v="RR_culture_089"/>
        <s v="RR_culture_090"/>
        <s v="RR_culture_091"/>
        <s v="RR_culture_092"/>
        <s v="RR_culture_093"/>
        <s v="RR_culture_094"/>
        <s v="RR_culture_095"/>
        <s v="RR_culture_096"/>
        <s v="RR_culture_097"/>
        <s v="RR_culture_098"/>
        <s v="RR_culture_099"/>
        <s v="RR_culture_100"/>
        <s v="RR_culture_101"/>
        <s v="RR_culture_102"/>
        <s v="RR_culture_103"/>
        <s v="RR_culture_104"/>
        <s v="RR_culture_105"/>
        <s v="RR_culture_106"/>
        <s v="RR_culture_107"/>
        <s v="RR_culture_108"/>
        <s v="RR_culture_109"/>
        <s v="RR_culture_110"/>
        <s v="RR_culture_111"/>
        <s v="RR_culture_112"/>
        <s v="RR_culture_113"/>
        <s v="RR_culture_114"/>
        <s v="RR_culture_115"/>
        <s v="RR_culture_116"/>
        <s v="RR_culture_117"/>
        <s v="RR_culture_118"/>
        <s v="RR_culture_119"/>
        <s v="RR_culture_120"/>
        <s v="RR_culture_121"/>
        <s v="RR_culture_122"/>
        <s v="RR_culture_123"/>
        <s v="RR_culture_124"/>
        <s v="RR_culture_125"/>
        <s v="RR_culture_126"/>
        <s v="RR_culture_127"/>
        <s v="RR_culture_128"/>
        <s v="RR_culture_129"/>
        <s v="RR_culture_130"/>
        <s v="RR_culture_131"/>
        <s v="RR_culture_132"/>
        <s v="RR_culture_133"/>
        <s v="RR_culture_134"/>
        <s v="RR_culture_135"/>
        <s v="RR_culture_136"/>
        <s v="RR_culture_137"/>
        <s v="RR_culture_138"/>
        <s v="RR_culture_139"/>
        <s v="RR_culture_140"/>
        <s v="RR_culture_141"/>
        <s v="RR_culture_142"/>
        <s v="RR_culture_143"/>
        <s v="RR_culture_144"/>
        <s v="RR_culture_145"/>
        <s v="RR_culture_146"/>
        <s v="RR_culture_147"/>
        <s v="RR_culture_148"/>
        <s v="RR_culture_149"/>
        <s v="RR_culture_150"/>
        <s v="RR_culture_151"/>
        <s v="RR_culture_152"/>
        <s v="RR_culture_153"/>
        <s v="RR_culture_154"/>
        <s v="RR_culture_155"/>
        <s v="RR_culture_156"/>
        <s v="RR_culture_157"/>
        <s v="RR_culture_158"/>
        <s v="RR_culture_159"/>
        <s v="RR_culture_160"/>
        <s v="RR_culture_161"/>
        <s v="RR_culture_162"/>
        <s v="RR_culture_163"/>
        <s v="RR_culture_164"/>
        <s v="RR_culture_165"/>
        <s v="RR_culture_166"/>
        <s v="RR_culture_167"/>
        <s v="RR_culture_168"/>
        <s v="RR_culture_169"/>
        <s v="RR_culture_170"/>
        <s v="RR_culture_171"/>
        <s v="RR_culture_172"/>
        <s v="RR_culture_173"/>
        <s v="RR_culture_174"/>
        <s v="RR_culture_175"/>
        <s v="RR_culture_176"/>
        <s v="RR_culture_177"/>
        <s v="RR_culture_178"/>
        <s v="RR_culture_179"/>
        <s v="RR_culture_180"/>
        <s v="RR_culture_181"/>
        <s v="RR_culture_182"/>
        <s v="RR_culture_183"/>
        <s v="RR_culture_184"/>
        <s v="RR_culture_185"/>
        <s v="RR_culture_186"/>
        <s v="RR_culture_187"/>
        <s v="RR_culture_188"/>
      </sharedItems>
    </cacheField>
    <cacheField name="reported_Temp" numFmtId="0">
      <sharedItems containsSemiMixedTypes="0" containsString="0" containsNumber="1" containsInteger="1" minValue="10" maxValue="85" count="30">
        <n v="10"/>
        <n v="15"/>
        <n v="17"/>
        <n v="18"/>
        <n v="20"/>
        <n v="22"/>
        <n v="23"/>
        <n v="25"/>
        <n v="26"/>
        <n v="28"/>
        <n v="29"/>
        <n v="30"/>
        <n v="32"/>
        <n v="33"/>
        <n v="35"/>
        <n v="37"/>
        <n v="42"/>
        <n v="46"/>
        <n v="47"/>
        <n v="50"/>
        <n v="53"/>
        <n v="58"/>
        <n v="63"/>
        <n v="65"/>
        <n v="70"/>
        <n v="72"/>
        <n v="75"/>
        <n v="81"/>
        <n v="82"/>
        <n v="85"/>
      </sharedItems>
    </cacheField>
    <cacheField name="reported_Salinity" numFmtId="0">
      <sharedItems containsString="0" containsBlank="1" count="1">
        <m/>
      </sharedItems>
    </cacheField>
    <cacheField name="reported_pH" numFmtId="0">
      <sharedItems containsString="0" containsBlank="1" containsNumber="1" minValue="0.3" maxValue="8.2" count="23">
        <n v="0.3"/>
        <n v="0.5"/>
        <n v="0.7"/>
        <n v="0.9"/>
        <n v="1.1"/>
        <n v="3"/>
        <n v="3.5"/>
        <n v="4"/>
        <n v="4.5"/>
        <n v="5"/>
        <n v="5.5"/>
        <n v="6"/>
        <n v="6.5"/>
        <n v="6.8"/>
        <n v="6.9"/>
        <n v="7"/>
        <n v="7.1"/>
        <n v="7.2"/>
        <n v="7.5"/>
        <n v="7.6"/>
        <n v="7.8"/>
        <n v="8.2"/>
        <m/>
      </sharedItems>
    </cacheField>
    <cacheField name="reported_oxy_micromolar" numFmtId="0">
      <sharedItems containsString="0" containsBlank="1" containsNumber="1" containsInteger="1" minValue="1" maxValue="213" count="8">
        <n v="1"/>
        <n v="2"/>
        <n v="5"/>
        <n v="11"/>
        <n v="53"/>
        <n v="106"/>
        <n v="213"/>
        <m/>
      </sharedItems>
    </cacheField>
    <cacheField name="reported_ammonium" numFmtId="0">
      <sharedItems containsString="0" containsBlank="1" containsNumber="1" containsInteger="1" minValue="100" maxValue="500" count="3">
        <n v="100"/>
        <n v="500"/>
        <m/>
      </sharedItems>
    </cacheField>
    <cacheField name="reported_ionicStrength" numFmtId="0">
      <sharedItems containsString="0" containsBlank="1" containsNumber="1" minValue="10.1" maxValue="55.7" count="10">
        <n v="10.1"/>
        <n v="15"/>
        <n v="22.3"/>
        <n v="27.8"/>
        <n v="38"/>
        <n v="43.1"/>
        <n v="43.3"/>
        <n v="44.9"/>
        <n v="55.7"/>
        <m/>
      </sharedItems>
    </cacheField>
    <cacheField name="reported_AOR_umol_NO2_l_d" numFmtId="0">
      <sharedItems containsString="0" containsBlank="1" containsNumber="1" minValue="31.2" maxValue="101.6" count="4">
        <n v="31.2"/>
        <n v="71.4"/>
        <n v="101.6"/>
        <m/>
      </sharedItems>
    </cacheField>
    <cacheField name="reported_growthPhase_growthRate" numFmtId="0">
      <sharedItems containsBlank="1" count="11">
        <s v="earlylog_growth_rate"/>
        <s v="fast"/>
        <s v="growthdeath_growth_rate"/>
        <s v="growthlog_growth_rate"/>
        <s v="intermediate"/>
        <s v="lag_growth_rate"/>
        <s v="latelog_growth_rate"/>
        <s v="mid-exponential phase"/>
        <s v="slow"/>
        <s v="Stationary Phase"/>
        <m/>
      </sharedItems>
    </cacheField>
    <cacheField name="experiment_setup" numFmtId="0">
      <sharedItems count="5">
        <s v="Culture-growth-rate"/>
        <s v="Culture-ionic-strength"/>
        <s v="Culture-oxygen"/>
        <s v="Culture-pH"/>
        <s v="Culture-temperature"/>
      </sharedItems>
    </cacheField>
    <cacheField name="Broad Filtration Class" numFmtId="0">
      <sharedItems count="3">
        <s v="   "/>
        <s v="IPL-GDGTs"/>
        <s v="Total GDGTs"/>
      </sharedItems>
    </cacheField>
    <cacheField name="Lipid Extractions" numFmtId="0">
      <sharedItems containsBlank="1" count="14">
        <s v="Hydrolysed biomass"/>
        <s v="Inferred total GDGTs from IPLs"/>
        <s v="IPL-GDGT (reported); 1G (Hexose)"/>
        <s v="IPL-GDGT (reported); 2G (Dihexose)"/>
        <s v="IPL-GDGT (reported); HPH"/>
        <s v="IPL-GDGT (reported); TH1"/>
        <s v="IPL-GDGT (reported); TH2"/>
        <s v="refluxing with 2 N HCl in methanol for 8 h, followed by liquid/liquid extraction with DCM"/>
        <s v="Total GDGTs (Base and Acid hydrolysis)"/>
        <s v="Total GDGTs (Hydrolysed TLEs)"/>
        <s v="Total GDGTs (Hydrolyzed B-D extracts; CLs + cleaved IPLs)"/>
        <s v="Total GDGTs; Acid hydrolyzed TLEs (CLs + cleaved IPLs)"/>
        <s v="Total IPLs (calculated)"/>
        <m/>
      </sharedItems>
    </cacheField>
    <cacheField name="Filter pore size" numFmtId="0">
      <sharedItems containsBlank="1" containsMixedTypes="1" containsNumber="1" minValue="0.1" maxValue="0.22" count="4">
        <n v="0.1"/>
        <n v="0.22"/>
        <s v="0.22-0.7"/>
        <m/>
      </sharedItems>
    </cacheField>
    <cacheField name="LCMS_instrumentation" numFmtId="0">
      <sharedItems count="10">
        <s v="NP-HPLC-APCI-Ion Trap-MS"/>
        <s v="NP-HPLC-APCI-QQQ-MS"/>
        <s v="NP-HPLC-APCI-Single Quad-MS"/>
        <s v="NP-HPLC-APCI-Single/Triple Quad-MS"/>
        <s v="NP-HPLC-ESI-Ion Trap-MS"/>
        <s v="NP-UHPLC-APCI-qTOF-MS"/>
        <s v="NP-UHPLC-APCI-qTOF-MS/MS"/>
        <s v="NP-UHPLC-APCI-Single Quad-MS"/>
        <s v="NP-UHPLC-ESI-qTOF-MS/MS"/>
        <s v="RP-UHPLC-ESI-Orbitrap-MS/MS-inferredCoreLipids"/>
      </sharedItems>
    </cacheField>
    <cacheField name="sum_reported_fractions" numFmtId="0">
      <sharedItems containsSemiMixedTypes="0" containsString="0" containsNumber="1" minValue="0.9" maxValue="172" count="89">
        <n v="0.9"/>
        <n v="0.936"/>
        <n v="0.969"/>
        <n v="1"/>
        <n v="1.000000001"/>
        <n v="2.46294641072224"/>
        <n v="4.3"/>
        <n v="5.4"/>
        <n v="7.8"/>
        <n v="9.48291564436689"/>
        <n v="9.55948634887332"/>
        <n v="9.7"/>
        <n v="10.2"/>
        <n v="12.2"/>
        <n v="13.1446664457211"/>
        <n v="18.779393996794"/>
        <n v="19.3753462382623"/>
        <n v="21.9"/>
        <n v="22.3"/>
        <n v="22.6"/>
        <n v="23.1052194879989"/>
        <n v="23.9"/>
        <n v="25.4"/>
        <n v="25.5883014123638"/>
        <n v="28.7"/>
        <n v="31.733101723765"/>
        <n v="33.2"/>
        <n v="34.980414462535"/>
        <n v="35.6"/>
        <n v="36"/>
        <n v="43.8"/>
        <n v="45"/>
        <n v="46.0645383153906"/>
        <n v="49.072084356254"/>
        <n v="49.7421817243495"/>
        <n v="52.7"/>
        <n v="55.9"/>
        <n v="57.5"/>
        <n v="67.6470884185261"/>
        <n v="68.6"/>
        <n v="68.8"/>
        <n v="70.5"/>
        <n v="71.5"/>
        <n v="78.6729468761982"/>
        <n v="78.7775912318573"/>
        <n v="82.8297999898927"/>
        <n v="84.8772228065487"/>
        <n v="86.81"/>
        <n v="87.3"/>
        <n v="88"/>
        <n v="88.4"/>
        <n v="88.89"/>
        <n v="89.2759757112721"/>
        <n v="89.7"/>
        <n v="90"/>
        <n v="90.9415511166015"/>
        <n v="92"/>
        <n v="93.28"/>
        <n v="93.8"/>
        <n v="93.8891513003617"/>
        <n v="94.9"/>
        <n v="96.27"/>
        <n v="96.3087200520614"/>
        <n v="96.4"/>
        <n v="97.6565849631628"/>
        <n v="98.1"/>
        <n v="98.6"/>
        <n v="98.8"/>
        <n v="99.81"/>
        <n v="99.82"/>
        <n v="99.8348757506007"/>
        <n v="99.8814783179857"/>
        <n v="99.9"/>
        <n v="99.91"/>
        <n v="99.92"/>
        <n v="99.94"/>
        <n v="99.95"/>
        <n v="99.96"/>
        <n v="99.97"/>
        <n v="99.9713878495569"/>
        <n v="99.99"/>
        <n v="99.9956900160148"/>
        <n v="100"/>
        <n v="100.01"/>
        <n v="100.02"/>
        <n v="100.1"/>
        <n v="100.2"/>
        <n v="101.9"/>
        <n v="172"/>
      </sharedItems>
    </cacheField>
    <cacheField name="reported_1302" numFmtId="0">
      <sharedItems containsString="0" containsBlank="1" containsNumber="1" minValue="0" maxValue="65.83" count="158">
        <n v="0"/>
        <n v="0.00263948682698136"/>
        <n v="0.0279585536034026"/>
        <n v="0.0356433767201007"/>
        <n v="0.0358314301205607"/>
        <n v="0.04"/>
        <n v="0.05"/>
        <n v="0.0503399679097273"/>
        <n v="0.0646229223325278"/>
        <n v="0.07"/>
        <n v="0.08"/>
        <n v="0.0827366341639229"/>
        <n v="0.0857367320422929"/>
        <n v="0.09"/>
        <n v="0.0904016926032679"/>
        <n v="0.094736842"/>
        <n v="0.0960564048139003"/>
        <n v="0.098309617852306"/>
        <n v="0.1"/>
        <n v="0.104904844642111"/>
        <n v="0.12"/>
        <n v="0.137989360708539"/>
        <n v="0.140728476821192"/>
        <n v="0.147368421"/>
        <n v="0.160304967570937"/>
        <n v="0.16234894897708"/>
        <n v="0.170212766"/>
        <n v="0.180956780264808"/>
        <n v="0.2"/>
        <n v="0.210851371788283"/>
        <n v="0.242490573713855"/>
        <n v="0.259757471788775"/>
        <n v="0.26"/>
        <n v="0.3"/>
        <n v="0.31"/>
        <n v="0.32"/>
        <n v="0.340944371386148"/>
        <n v="0.34460612646573"/>
        <n v="0.35"/>
        <n v="0.353211590422786"/>
        <n v="0.363780848290774"/>
        <n v="0.379610207503242"/>
        <n v="0.4"/>
        <n v="0.408538178708186"/>
        <n v="0.437775323736155"/>
        <n v="0.5"/>
        <n v="0.514026471181191"/>
        <n v="0.515723727749872"/>
        <n v="0.6"/>
        <n v="0.7"/>
        <n v="0.9"/>
        <n v="1.1"/>
        <n v="1.21453758477439"/>
        <n v="1.5837492047948"/>
        <n v="1.6"/>
        <n v="1.740036068514"/>
        <n v="2"/>
        <n v="2.5"/>
        <n v="2.7378983060648"/>
        <n v="2.8"/>
        <n v="2.9"/>
        <n v="3.03620282220942"/>
        <n v="3.84"/>
        <n v="4"/>
        <n v="4.21"/>
        <n v="4.62457465178225"/>
        <n v="4.94509613124634"/>
        <n v="5.04902735447094"/>
        <n v="5.3"/>
        <n v="5.71248837332884"/>
        <n v="5.78"/>
        <n v="6.04"/>
        <n v="6.23426348823763"/>
        <n v="6.37094346037539"/>
        <n v="7"/>
        <n v="7.39"/>
        <n v="7.5"/>
        <n v="7.64"/>
        <n v="7.71104921632667"/>
        <n v="7.81"/>
        <n v="8.00289041732267"/>
        <n v="8.18"/>
        <n v="8.3309737133752"/>
        <n v="8.8"/>
        <n v="8.9"/>
        <n v="8.95"/>
        <n v="9.13617310466401"/>
        <n v="9.25"/>
        <n v="9.44"/>
        <n v="9.5"/>
        <n v="9.69"/>
        <n v="9.8"/>
        <n v="10"/>
        <n v="10.32"/>
        <n v="10.5"/>
        <n v="10.8214535020481"/>
        <n v="11"/>
        <n v="11.1934681427469"/>
        <n v="11.57"/>
        <n v="11.9087203249125"/>
        <n v="12.1"/>
        <n v="12.2"/>
        <n v="12.23"/>
        <n v="13.47"/>
        <n v="13.51"/>
        <n v="13.7"/>
        <n v="14.3"/>
        <n v="14.4"/>
        <n v="14.84"/>
        <n v="15.2"/>
        <n v="15.9530645092725"/>
        <n v="16.4"/>
        <n v="16.49"/>
        <n v="19.58"/>
        <n v="19.77"/>
        <n v="21.41"/>
        <n v="21.55"/>
        <n v="21.62"/>
        <n v="22.2"/>
        <n v="22.72"/>
        <n v="22.76"/>
        <n v="23.4"/>
        <n v="24.6"/>
        <n v="24.9"/>
        <n v="25"/>
        <n v="25.2"/>
        <n v="25.33"/>
        <n v="25.76"/>
        <n v="27.23"/>
        <n v="27.86"/>
        <n v="28"/>
        <n v="28.48"/>
        <n v="28.49"/>
        <n v="30.93"/>
        <n v="31.2"/>
        <n v="31.3"/>
        <n v="31.42"/>
        <n v="31.8"/>
        <n v="32.54"/>
        <n v="34.3"/>
        <n v="34.39"/>
        <n v="38.09"/>
        <n v="38.8"/>
        <n v="38.81"/>
        <n v="42.25"/>
        <n v="43.49"/>
        <n v="43.96"/>
        <n v="44.19"/>
        <n v="44.6"/>
        <n v="47.94"/>
        <n v="48.33"/>
        <n v="50.22"/>
        <n v="53.99"/>
        <n v="56.92"/>
        <n v="57.6"/>
        <n v="59.34"/>
        <n v="65.83"/>
        <m/>
      </sharedItems>
    </cacheField>
    <cacheField name="reported_1300" numFmtId="0">
      <sharedItems containsString="0" containsBlank="1" containsNumber="1" minValue="0" maxValue="28" count="156">
        <n v="0"/>
        <n v="0.00313795549274563"/>
        <n v="0.01"/>
        <n v="0.02"/>
        <n v="0.02478284343528"/>
        <n v="0.03"/>
        <n v="0.0303562864445795"/>
        <n v="0.0309069050432531"/>
        <n v="0.0417999212087021"/>
        <n v="0.0461203751705111"/>
        <n v="0.0523565556535949"/>
        <n v="0.06"/>
        <n v="0.0653029545206974"/>
        <n v="0.0674529770714822"/>
        <n v="0.0730112414736814"/>
        <n v="0.073684211"/>
        <n v="0.08"/>
        <n v="0.0894039735099339"/>
        <n v="0.091015958798162"/>
        <n v="0.1"/>
        <n v="0.108269850286558"/>
        <n v="0.115789474"/>
        <n v="0.117021277"/>
        <n v="0.118272341703722"/>
        <n v="0.12"/>
        <n v="0.126386708889941"/>
        <n v="0.127243656682075"/>
        <n v="0.13"/>
        <n v="0.132811792325685"/>
        <n v="0.133709782276437"/>
        <n v="0.14"/>
        <n v="0.15"/>
        <n v="0.164472238241683"/>
        <n v="0.17"/>
        <n v="0.174887305496125"/>
        <n v="0.177252789684837"/>
        <n v="0.180109248740323"/>
        <n v="0.199686089687055"/>
        <n v="0.199728320954813"/>
        <n v="0.2"/>
        <n v="0.238167780132259"/>
        <n v="0.23898126836564"/>
        <n v="0.3"/>
        <n v="0.38"/>
        <n v="0.5"/>
        <n v="0.6"/>
        <n v="0.7"/>
        <n v="0.8"/>
        <n v="0.9"/>
        <n v="0.931464464588866"/>
        <n v="1"/>
        <n v="1.05027009197539"/>
        <n v="1.07027749656889"/>
        <n v="1.2"/>
        <n v="1.26332019975718"/>
        <n v="1.3507600050849"/>
        <n v="1.4"/>
        <n v="1.51144559681054"/>
        <n v="2"/>
        <n v="2.38304386318605"/>
        <n v="2.5"/>
        <n v="2.7"/>
        <n v="2.71"/>
        <n v="2.9"/>
        <n v="2.90178233001407"/>
        <n v="2.98"/>
        <n v="3.03555143227253"/>
        <n v="3.17"/>
        <n v="3.34"/>
        <n v="3.36"/>
        <n v="3.73"/>
        <n v="3.78"/>
        <n v="3.9"/>
        <n v="3.95"/>
        <n v="4"/>
        <n v="4.04"/>
        <n v="4.19152266019089"/>
        <n v="4.52"/>
        <n v="4.69"/>
        <n v="4.71"/>
        <n v="4.8"/>
        <n v="5.5"/>
        <n v="5.50368426360502"/>
        <n v="5.5869736662646"/>
        <n v="5.63503144788197"/>
        <n v="5.76"/>
        <n v="5.9"/>
        <n v="6.08"/>
        <n v="6.1"/>
        <n v="6.14"/>
        <n v="6.24"/>
        <n v="6.29"/>
        <n v="6.6"/>
        <n v="6.83330869608797"/>
        <n v="6.84"/>
        <n v="6.93591665096578"/>
        <n v="7"/>
        <n v="7.04"/>
        <n v="7.1"/>
        <n v="7.31"/>
        <n v="7.34"/>
        <n v="7.62"/>
        <n v="7.85"/>
        <n v="7.85348176649278"/>
        <n v="7.9"/>
        <n v="7.93"/>
        <n v="8.25"/>
        <n v="8.36065258280907"/>
        <n v="8.4"/>
        <n v="8.5"/>
        <n v="8.57"/>
        <n v="8.7"/>
        <n v="8.76"/>
        <n v="8.8853345276198"/>
        <n v="9"/>
        <n v="9.2"/>
        <n v="9.6"/>
        <n v="9.63"/>
        <n v="9.73"/>
        <n v="10"/>
        <n v="10.45"/>
        <n v="10.63"/>
        <n v="10.72"/>
        <n v="10.78"/>
        <n v="10.8"/>
        <n v="10.91"/>
        <n v="10.93"/>
        <n v="11"/>
        <n v="11.08"/>
        <n v="11.2"/>
        <n v="11.3"/>
        <n v="11.45"/>
        <n v="11.89"/>
        <n v="12.02"/>
        <n v="12.59"/>
        <n v="12.6"/>
        <n v="13"/>
        <n v="13.31"/>
        <n v="13.7911185322589"/>
        <n v="13.91"/>
        <n v="13.9406052504518"/>
        <n v="14"/>
        <n v="14.14"/>
        <n v="14.2"/>
        <n v="15.3"/>
        <n v="15.47"/>
        <n v="16"/>
        <n v="17.1"/>
        <n v="18.2243489884471"/>
        <n v="18.4"/>
        <n v="19.2"/>
        <n v="20.1"/>
        <n v="21.3281412183935"/>
        <n v="23.1"/>
        <n v="28"/>
        <m/>
      </sharedItems>
    </cacheField>
    <cacheField name="reported_1298" numFmtId="0">
      <sharedItems containsString="0" containsBlank="1" containsNumber="1" minValue="0" maxValue="42.8659770775496" count="155">
        <n v="0"/>
        <n v="0.00386018079697568"/>
        <n v="0.0148935139910483"/>
        <n v="0.0150302757057933"/>
        <n v="0.0177456459318475"/>
        <n v="0.0234857527861734"/>
        <n v="0.0264680497246913"/>
        <n v="0.0314784922489127"/>
        <n v="0.04"/>
        <n v="0.0447452878654551"/>
        <n v="0.0478738575680938"/>
        <n v="0.05"/>
        <n v="0.0503652374005158"/>
        <n v="0.06"/>
        <n v="0.0621035722000656"/>
        <n v="0.0621449691540855"/>
        <n v="0.0637082262388039"/>
        <n v="0.0787746921634775"/>
        <n v="0.0849472274353484"/>
        <n v="0.0870316320768309"/>
        <n v="0.09"/>
        <n v="0.107615894039735"/>
        <n v="0.11"/>
        <n v="0.133302080785347"/>
        <n v="0.135502368847285"/>
        <n v="0.15"/>
        <n v="0.153079000236393"/>
        <n v="0.154486790670343"/>
        <n v="0.159574468"/>
        <n v="0.168075053703548"/>
        <n v="0.17"/>
        <n v="0.178947368"/>
        <n v="0.180303173977843"/>
        <n v="0.19"/>
        <n v="0.2"/>
        <n v="0.210526316"/>
        <n v="0.23"/>
        <n v="0.267614631651405"/>
        <n v="0.388892306515647"/>
        <n v="0.39306706296659"/>
        <n v="0.47"/>
        <n v="0.5"/>
        <n v="0.6"/>
        <n v="0.7"/>
        <n v="0.8"/>
        <n v="1"/>
        <n v="1.3"/>
        <n v="1.34"/>
        <n v="1.4"/>
        <n v="1.41"/>
        <n v="1.46"/>
        <n v="1.5"/>
        <n v="1.51835141371965"/>
        <n v="1.53"/>
        <n v="1.65522737678659"/>
        <n v="1.8"/>
        <n v="1.88"/>
        <n v="1.9"/>
        <n v="1.94102985859028"/>
        <n v="1.97"/>
        <n v="2"/>
        <n v="2.09"/>
        <n v="2.37"/>
        <n v="2.6"/>
        <n v="2.71"/>
        <n v="2.8"/>
        <n v="2.97255022246746"/>
        <n v="3.4"/>
        <n v="3.4370446629403"/>
        <n v="3.73867356119331"/>
        <n v="3.8"/>
        <n v="4"/>
        <n v="5.53"/>
        <n v="5.6848979614474"/>
        <n v="6.19344356608915"/>
        <n v="6.4"/>
        <n v="6.5"/>
        <n v="7.20902529491338"/>
        <n v="7.32"/>
        <n v="7.38605458221894"/>
        <n v="7.5"/>
        <n v="7.69"/>
        <n v="7.8"/>
        <n v="8.57"/>
        <n v="8.6"/>
        <n v="8.8"/>
        <n v="9.1"/>
        <n v="9.37"/>
        <n v="10.1"/>
        <n v="10.3"/>
        <n v="10.4"/>
        <n v="10.5"/>
        <n v="10.81"/>
        <n v="10.84"/>
        <n v="11.2"/>
        <n v="11.26"/>
        <n v="11.4669961761064"/>
        <n v="11.97"/>
        <n v="12.2"/>
        <n v="12.3"/>
        <n v="12.42"/>
        <n v="12.62"/>
        <n v="13.2"/>
        <n v="13.2900320544714"/>
        <n v="13.43"/>
        <n v="14.2"/>
        <n v="14.3"/>
        <n v="14.84"/>
        <n v="14.9"/>
        <n v="15.15"/>
        <n v="15.82"/>
        <n v="16"/>
        <n v="16.26"/>
        <n v="16.6"/>
        <n v="16.8756513512623"/>
        <n v="18.3290097685506"/>
        <n v="18.37"/>
        <n v="18.9034139296521"/>
        <n v="19.025379805967"/>
        <n v="19.76"/>
        <n v="20.5"/>
        <n v="21.15"/>
        <n v="22.1"/>
        <n v="22.97"/>
        <n v="23.1"/>
        <n v="23.3"/>
        <n v="23.92"/>
        <n v="24.3"/>
        <n v="24.48"/>
        <n v="25.09"/>
        <n v="25.58"/>
        <n v="26.6"/>
        <n v="27"/>
        <n v="27.11"/>
        <n v="27.83"/>
        <n v="28.5180926519604"/>
        <n v="30.32"/>
        <n v="32.27"/>
        <n v="33.09"/>
        <n v="33.0981669730905"/>
        <n v="34.66"/>
        <n v="34.7569055700608"/>
        <n v="35.1010492141478"/>
        <n v="35.99"/>
        <n v="36.11"/>
        <n v="36.24"/>
        <n v="36.33"/>
        <n v="36.34"/>
        <n v="37.83"/>
        <n v="37.9251572728478"/>
        <n v="38.42"/>
        <n v="39.72"/>
        <n v="42.23"/>
        <n v="42.8659770775496"/>
        <m/>
      </sharedItems>
    </cacheField>
    <cacheField name="reported_1296" numFmtId="0">
      <sharedItems containsString="0" containsBlank="1" containsNumber="1" minValue="0" maxValue="35.3" count="149">
        <n v="0"/>
        <n v="0.00830115176078639"/>
        <n v="0.00841077720521622"/>
        <n v="0.00928547359116495"/>
        <n v="0.01"/>
        <n v="0.0126624164484942"/>
        <n v="0.0127799295134205"/>
        <n v="0.020957003605465"/>
        <n v="0.0238143841267373"/>
        <n v="0.0269325610224898"/>
        <n v="0.0308621207053304"/>
        <n v="0.0323209839061975"/>
        <n v="0.0324967148172429"/>
        <n v="0.0327481370330143"/>
        <n v="0.0394549225742002"/>
        <n v="0.0395471301091693"/>
        <n v="0.04"/>
        <n v="0.0400965513427551"/>
        <n v="0.0404649548978106"/>
        <n v="0.0428271874079479"/>
        <n v="0.0443612245348016"/>
        <n v="0.0460937838894981"/>
        <n v="0.0593152981941857"/>
        <n v="0.0695364238410596"/>
        <n v="0.0716534139217858"/>
        <n v="0.073684211"/>
        <n v="0.08"/>
        <n v="0.084210526"/>
        <n v="0.085106383"/>
        <n v="0.0886431015284976"/>
        <n v="0.14"/>
        <n v="0.2"/>
        <n v="0.206227154911585"/>
        <n v="0.25"/>
        <n v="0.3"/>
        <n v="0.311164035699694"/>
        <n v="0.32"/>
        <n v="0.38"/>
        <n v="0.4"/>
        <n v="0.5"/>
        <n v="0.6"/>
        <n v="0.8"/>
        <n v="0.894983202203262"/>
        <n v="0.9"/>
        <n v="0.96"/>
        <n v="1"/>
        <n v="1.01574465748398"/>
        <n v="1.1"/>
        <n v="1.2"/>
        <n v="1.25"/>
        <n v="1.29155650315485"/>
        <n v="1.32"/>
        <n v="1.38854964080314"/>
        <n v="1.45"/>
        <n v="1.45360610411551"/>
        <n v="1.5"/>
        <n v="1.58"/>
        <n v="1.71"/>
        <n v="1.8"/>
        <n v="1.83"/>
        <n v="1.94"/>
        <n v="2.15"/>
        <n v="2.2"/>
        <n v="2.22"/>
        <n v="2.26"/>
        <n v="2.3"/>
        <n v="2.4"/>
        <n v="2.4007666386282"/>
        <n v="2.54"/>
        <n v="2.63231105867986"/>
        <n v="2.69"/>
        <n v="2.7"/>
        <n v="2.76"/>
        <n v="2.9"/>
        <n v="3.06"/>
        <n v="3.14"/>
        <n v="3.2"/>
        <n v="3.2070200763168"/>
        <n v="3.3"/>
        <n v="3.48"/>
        <n v="3.49"/>
        <n v="3.56"/>
        <n v="3.7"/>
        <n v="3.78584670100164"/>
        <n v="4.16"/>
        <n v="4.19"/>
        <n v="4.2"/>
        <n v="4.26"/>
        <n v="4.28"/>
        <n v="4.28892587494397"/>
        <n v="4.3"/>
        <n v="4.37"/>
        <n v="4.5"/>
        <n v="4.6"/>
        <n v="4.76"/>
        <n v="4.99"/>
        <n v="5"/>
        <n v="5.1"/>
        <n v="5.2"/>
        <n v="5.5"/>
        <n v="5.69"/>
        <n v="5.7"/>
        <n v="5.8"/>
        <n v="6.1"/>
        <n v="6.22977037438213"/>
        <n v="6.42"/>
        <n v="7.1"/>
        <n v="7.15"/>
        <n v="7.22"/>
        <n v="7.6"/>
        <n v="7.86073630741743"/>
        <n v="8.01"/>
        <n v="8.0193165204347"/>
        <n v="8.8"/>
        <n v="8.94"/>
        <n v="8.96"/>
        <n v="9.09"/>
        <n v="9.39"/>
        <n v="9.5"/>
        <n v="9.53491237332075"/>
        <n v="9.61727166716602"/>
        <n v="9.73"/>
        <n v="9.89834421653803"/>
        <n v="10.3353490711655"/>
        <n v="10.81"/>
        <n v="11.09"/>
        <n v="11.3"/>
        <n v="11.6742320225314"/>
        <n v="11.78"/>
        <n v="11.9750907790281"/>
        <n v="12.1"/>
        <n v="12.5"/>
        <n v="12.5536085085512"/>
        <n v="12.68"/>
        <n v="12.84"/>
        <n v="13.26"/>
        <n v="14.5"/>
        <n v="14.97"/>
        <n v="15.75"/>
        <n v="16.08"/>
        <n v="16.4753277156183"/>
        <n v="17.2"/>
        <n v="17.7310886608243"/>
        <n v="18.0441974139864"/>
        <n v="19.8"/>
        <n v="21.4"/>
        <n v="21.7"/>
        <n v="35.3"/>
        <m/>
      </sharedItems>
    </cacheField>
    <cacheField name="reported_1292" numFmtId="0">
      <sharedItems containsSemiMixedTypes="0" containsString="0" containsNumber="1" minValue="0" maxValue="80.2" count="171">
        <n v="0"/>
        <n v="0.0502496257963335"/>
        <n v="0.153446368557124"/>
        <n v="0.24"/>
        <n v="0.281868787062314"/>
        <n v="0.285259193446433"/>
        <n v="0.323836035743518"/>
        <n v="0.323895412656285"/>
        <n v="0.34"/>
        <n v="0.35"/>
        <n v="0.390847108242858"/>
        <n v="0.428238197467388"/>
        <n v="0.454031443867735"/>
        <n v="0.457446809"/>
        <n v="0.463157895"/>
        <n v="0.501219403861513"/>
        <n v="0.50322098997341"/>
        <n v="0.515838111871423"/>
        <n v="0.518682177492692"/>
        <n v="0.534842904411954"/>
        <n v="0.536842105"/>
        <n v="0.549092996365743"/>
        <n v="0.554988246525083"/>
        <n v="0.563224021312562"/>
        <n v="0.59271523178808"/>
        <n v="0.596275117453373"/>
        <n v="0.599388216966824"/>
        <n v="0.604613325377816"/>
        <n v="0.6306890688125"/>
        <n v="0.646853184616807"/>
        <n v="0.661357558508973"/>
        <n v="0.671876287742252"/>
        <n v="0.693758642691294"/>
        <n v="0.886093421006641"/>
        <n v="1.09929708300875"/>
        <n v="1.1"/>
        <n v="1.3"/>
        <n v="1.34691574227145"/>
        <n v="1.45"/>
        <n v="1.6"/>
        <n v="1.91"/>
        <n v="1.97"/>
        <n v="1.98"/>
        <n v="2.1"/>
        <n v="2.8"/>
        <n v="3.01"/>
        <n v="3.25"/>
        <n v="3.34"/>
        <n v="3.5"/>
        <n v="4"/>
        <n v="4.2"/>
        <n v="4.31"/>
        <n v="4.53"/>
        <n v="4.6"/>
        <n v="4.64"/>
        <n v="4.9"/>
        <n v="4.93"/>
        <n v="5.13"/>
        <n v="5.5"/>
        <n v="5.58"/>
        <n v="5.59"/>
        <n v="5.7"/>
        <n v="6"/>
        <n v="6.39"/>
        <n v="6.7"/>
        <n v="6.9"/>
        <n v="7.2"/>
        <n v="7.3"/>
        <n v="7.7"/>
        <n v="7.75"/>
        <n v="7.8"/>
        <n v="8"/>
        <n v="8.13"/>
        <n v="8.20805536108538"/>
        <n v="8.52350536654416"/>
        <n v="8.84562794567547"/>
        <n v="9.28033746611459"/>
        <n v="9.55"/>
        <n v="9.59443586354036"/>
        <n v="10"/>
        <n v="10.0772007105904"/>
        <n v="10.2"/>
        <n v="10.34"/>
        <n v="10.4"/>
        <n v="11"/>
        <n v="11.2"/>
        <n v="11.9107409058"/>
        <n v="12.462341369751"/>
        <n v="12.8446284452577"/>
        <n v="12.8456888541221"/>
        <n v="13.3"/>
        <n v="14"/>
        <n v="14.5171495382647"/>
        <n v="16.8"/>
        <n v="17.5"/>
        <n v="18.8"/>
        <n v="19"/>
        <n v="19.05277331908"/>
        <n v="19.3213237470882"/>
        <n v="19.3883281223896"/>
        <n v="19.4"/>
        <n v="21.2734200502151"/>
        <n v="21.3"/>
        <n v="22"/>
        <n v="22.4"/>
        <n v="23"/>
        <n v="23.2"/>
        <n v="23.9"/>
        <n v="24.3"/>
        <n v="25"/>
        <n v="26.1"/>
        <n v="26.2"/>
        <n v="28.7"/>
        <n v="29"/>
        <n v="29.2"/>
        <n v="30.4"/>
        <n v="32.51"/>
        <n v="32.7299033907647"/>
        <n v="33"/>
        <n v="33.6"/>
        <n v="35.17"/>
        <n v="35.4"/>
        <n v="35.7"/>
        <n v="35.8"/>
        <n v="36"/>
        <n v="37.3193390485025"/>
        <n v="37.39"/>
        <n v="38.7"/>
        <n v="38.9"/>
        <n v="40"/>
        <n v="40.14"/>
        <n v="40.9"/>
        <n v="41.27"/>
        <n v="43.67"/>
        <n v="45.1170017935372"/>
        <n v="45.42"/>
        <n v="47.1"/>
        <n v="47.99"/>
        <n v="49.1"/>
        <n v="49.78"/>
        <n v="51"/>
        <n v="51.78"/>
        <n v="53.53"/>
        <n v="53.78"/>
        <n v="53.91"/>
        <n v="54.41"/>
        <n v="54.65"/>
        <n v="55.1"/>
        <n v="56"/>
        <n v="57.301722590566"/>
        <n v="58.53"/>
        <n v="58.7"/>
        <n v="59"/>
        <n v="59.34"/>
        <n v="60.33"/>
        <n v="60.49"/>
        <n v="62.58"/>
        <n v="64.28"/>
        <n v="64.9"/>
        <n v="65"/>
        <n v="65.28"/>
        <n v="65.72"/>
        <n v="67.9684307748193"/>
        <n v="69"/>
        <n v="69.3488374272237"/>
        <n v="70"/>
        <n v="70.03"/>
        <n v="71.35"/>
        <n v="71.73"/>
        <n v="73.91"/>
        <n v="80.2"/>
      </sharedItems>
    </cacheField>
    <cacheField name="reported_1292_iso" numFmtId="0">
      <sharedItems containsString="0" containsBlank="1" containsNumber="1" minValue="0" maxValue="28.9621293737269" count="100">
        <n v="0"/>
        <n v="0.00226053992117042"/>
        <n v="0.00234334324517002"/>
        <n v="0.00260172179470324"/>
        <n v="0.00284852504287042"/>
        <n v="0.00294973328276556"/>
        <n v="0.0029954114404571"/>
        <n v="0.00396981152718629"/>
        <n v="0.004"/>
        <n v="0.00557903172573946"/>
        <n v="0.00590792621067985"/>
        <n v="0.006"/>
        <n v="0.00607931839123843"/>
        <n v="0.00770855127295782"/>
        <n v="0.00911248441589158"/>
        <n v="0.01"/>
        <n v="0.010526316"/>
        <n v="0.010638298"/>
        <n v="0.0107098128790818"/>
        <n v="0.011231516294797"/>
        <n v="0.014895194497873"/>
        <n v="0.0215303926528836"/>
        <n v="0.0790791940219373"/>
        <n v="0.1"/>
        <n v="0.110109770635775"/>
        <n v="0.117210880046558"/>
        <n v="0.12"/>
        <n v="0.15"/>
        <n v="0.161247075843126"/>
        <n v="0.165552707354349"/>
        <n v="0.17"/>
        <n v="0.184160276743516"/>
        <n v="0.2"/>
        <n v="0.223304363839989"/>
        <n v="0.23"/>
        <n v="0.24"/>
        <n v="0.26"/>
        <n v="0.29"/>
        <n v="0.3"/>
        <n v="0.31"/>
        <n v="0.322246769939556"/>
        <n v="0.325365558261136"/>
        <n v="0.34"/>
        <n v="0.36"/>
        <n v="0.37"/>
        <n v="0.39"/>
        <n v="0.4"/>
        <n v="0.411697930453323"/>
        <n v="0.43"/>
        <n v="0.454352984706014"/>
        <n v="0.480775973103059"/>
        <n v="0.5"/>
        <n v="0.55"/>
        <n v="0.56"/>
        <n v="0.58"/>
        <n v="0.6"/>
        <n v="0.61"/>
        <n v="0.612670355733102"/>
        <n v="0.62"/>
        <n v="0.64"/>
        <n v="0.647351192666829"/>
        <n v="0.705535009611373"/>
        <n v="0.713858403197846"/>
        <n v="0.733944700392879"/>
        <n v="0.747002661298785"/>
        <n v="0.84"/>
        <n v="0.879579105586369"/>
        <n v="0.89"/>
        <n v="0.9"/>
        <n v="0.961989060332397"/>
        <n v="1"/>
        <n v="1.1"/>
        <n v="1.13566668558685"/>
        <n v="1.18"/>
        <n v="1.18529342417239"/>
        <n v="1.18793252997312"/>
        <n v="1.2"/>
        <n v="1.2013556460048"/>
        <n v="1.28"/>
        <n v="1.3"/>
        <n v="1.46103224384799"/>
        <n v="1.47651038672734"/>
        <n v="1.6"/>
        <n v="1.69021658366129"/>
        <n v="1.79981704402652"/>
        <n v="2.2"/>
        <n v="2.33301887781494"/>
        <n v="4.6"/>
        <n v="4.9"/>
        <n v="5.48865179539637"/>
        <n v="11"/>
        <n v="12"/>
        <n v="13.7"/>
        <n v="19"/>
        <n v="21"/>
        <n v="22.9"/>
        <n v="24"/>
        <n v="26.4104190822172"/>
        <n v="28.9621293737269"/>
        <m/>
      </sharedItems>
    </cacheField>
    <cacheField name="reported_1294" numFmtId="0">
      <sharedItems containsString="0" containsBlank="1" containsNumber="1" minValue="0" maxValue="39.39" count="114">
        <n v="0"/>
        <n v="0.0053877552026695"/>
        <n v="0.00595642112878997"/>
        <n v="0.00635238508186536"/>
        <n v="0.04"/>
        <n v="0.0798007311242446"/>
        <n v="0.1"/>
        <n v="0.101857088345273"/>
        <n v="0.113615001622281"/>
        <n v="0.11838861038916"/>
        <n v="0.12"/>
        <n v="0.14"/>
        <n v="0.2"/>
        <n v="0.26"/>
        <n v="0.3"/>
        <n v="0.31"/>
        <n v="0.32"/>
        <n v="0.34"/>
        <n v="0.4"/>
        <n v="0.492399697724408"/>
        <n v="0.5"/>
        <n v="0.54"/>
        <n v="0.55"/>
        <n v="0.62"/>
        <n v="0.7"/>
        <n v="0.8"/>
        <n v="0.964182633982494"/>
        <n v="1.1"/>
        <n v="1.2"/>
        <n v="1.3"/>
        <n v="1.4"/>
        <n v="1.5"/>
        <n v="1.71728080728293"/>
        <n v="2"/>
        <n v="2.2"/>
        <n v="2.299031032549"/>
        <n v="2.3"/>
        <n v="2.30865157844176"/>
        <n v="2.60887832012784"/>
        <n v="2.8"/>
        <n v="3"/>
        <n v="3.67160272673001"/>
        <n v="3.73"/>
        <n v="4.19789382546436"/>
        <n v="4.21576083386597"/>
        <n v="4.3"/>
        <n v="4.8"/>
        <n v="4.88598283549691"/>
        <n v="5.17051517695939"/>
        <n v="5.3"/>
        <n v="5.30279317138594"/>
        <n v="5.4"/>
        <n v="5.48116827794433"/>
        <n v="5.5"/>
        <n v="5.8"/>
        <n v="6"/>
        <n v="6.1"/>
        <n v="6.3"/>
        <n v="6.80524191667763"/>
        <n v="7.3"/>
        <n v="7.7"/>
        <n v="8.04927884937543"/>
        <n v="8.2"/>
        <n v="8.64262252201794"/>
        <n v="8.98451916545607"/>
        <n v="9.05001386766558"/>
        <n v="9.12"/>
        <n v="9.2"/>
        <n v="9.71583331540568"/>
        <n v="9.9"/>
        <n v="10.3"/>
        <n v="10.6"/>
        <n v="10.88"/>
        <n v="11"/>
        <n v="11.16"/>
        <n v="11.18"/>
        <n v="11.2218054327401"/>
        <n v="11.5"/>
        <n v="11.5847561233809"/>
        <n v="11.64"/>
        <n v="12"/>
        <n v="12.02"/>
        <n v="12.1"/>
        <n v="12.6"/>
        <n v="13"/>
        <n v="13.1"/>
        <n v="13.34"/>
        <n v="13.75"/>
        <n v="13.83"/>
        <n v="14"/>
        <n v="14.32"/>
        <n v="14.3462856434056"/>
        <n v="14.702052068271"/>
        <n v="15.9"/>
        <n v="16"/>
        <n v="16.3"/>
        <n v="16.57"/>
        <n v="17.1140701047526"/>
        <n v="17.16"/>
        <n v="17.4"/>
        <n v="17.88"/>
        <n v="18.18"/>
        <n v="18.64"/>
        <n v="18.7532161499104"/>
        <n v="20.4709220029851"/>
        <n v="22.57"/>
        <n v="22.98"/>
        <n v="23.84"/>
        <n v="24.28"/>
        <n v="28"/>
        <n v="31.8"/>
        <n v="34.73"/>
        <n v="39.39"/>
        <m/>
      </sharedItems>
    </cacheField>
    <cacheField name="reported_1290" numFmtId="0">
      <sharedItems containsString="0" containsBlank="1" containsNumber="1" minValue="0" maxValue="90.5" count="37">
        <n v="0"/>
        <n v="0.02"/>
        <n v="0.13"/>
        <n v="0.15"/>
        <n v="0.16"/>
        <n v="0.17"/>
        <n v="0.22"/>
        <n v="0.25"/>
        <n v="0.26"/>
        <n v="0.27"/>
        <n v="0.32"/>
        <n v="0.45"/>
        <n v="0.49"/>
        <n v="0.54"/>
        <n v="0.55"/>
        <n v="0.56"/>
        <n v="0.63"/>
        <n v="0.73"/>
        <n v="0.74"/>
        <n v="0.93"/>
        <n v="0.96"/>
        <n v="1.13"/>
        <n v="1.67"/>
        <n v="38.5"/>
        <n v="40.4"/>
        <n v="52.4"/>
        <n v="55.9"/>
        <n v="63"/>
        <n v="65.7"/>
        <n v="72.3"/>
        <n v="75.2"/>
        <n v="85.3"/>
        <n v="86.8"/>
        <n v="87.7"/>
        <n v="88"/>
        <n v="90.5"/>
        <m/>
      </sharedItems>
    </cacheField>
    <cacheField name="reported_1288" numFmtId="0">
      <sharedItems containsString="0" containsBlank="1" containsNumber="1" minValue="0.01" maxValue="6.6" count="27">
        <n v="0.01"/>
        <n v="0.02"/>
        <n v="0.03"/>
        <n v="0.04"/>
        <n v="0.05"/>
        <n v="0.06"/>
        <n v="0.08"/>
        <n v="0.1"/>
        <n v="0.11"/>
        <n v="0.17"/>
        <n v="0.2"/>
        <n v="0.31"/>
        <n v="0.5"/>
        <n v="0.7"/>
        <n v="0.9"/>
        <n v="1"/>
        <n v="1.6"/>
        <n v="1.8"/>
        <n v="2.1"/>
        <n v="3.3"/>
        <n v="3.4"/>
        <n v="3.8"/>
        <n v="4.4"/>
        <n v="4.6"/>
        <n v="6"/>
        <n v="6.6"/>
        <m/>
      </sharedItems>
    </cacheField>
    <cacheField name="reported_1286" numFmtId="0">
      <sharedItems containsString="0" containsBlank="1" containsNumber="1" minValue="0.01" maxValue="0.04" count="4">
        <n v="0.01"/>
        <n v="0.02"/>
        <n v="0.04"/>
        <m/>
      </sharedItems>
    </cacheField>
    <cacheField name="reported_1292_iso2" numFmtId="0">
      <sharedItems containsString="0" containsBlank="1" containsNumber="1" minValue="0" maxValue="0.46" count="6">
        <n v="0"/>
        <n v="0.04"/>
        <n v="0.15"/>
        <n v="0.27"/>
        <n v="0.46"/>
        <m/>
      </sharedItems>
    </cacheField>
    <cacheField name="reported_1294_iso" numFmtId="0">
      <sharedItems containsString="0" containsBlank="1" containsNumber="1" minValue="0" maxValue="6.2" count="15">
        <n v="0"/>
        <n v="0.005"/>
        <n v="0.02"/>
        <n v="0.08"/>
        <n v="0.1"/>
        <n v="0.2"/>
        <n v="0.3"/>
        <n v="0.5"/>
        <n v="0.6"/>
        <n v="1"/>
        <n v="4.7"/>
        <n v="4.8"/>
        <n v="5.3"/>
        <n v="6.2"/>
        <m/>
      </sharedItems>
    </cacheField>
    <cacheField name="reported_1290_iso" numFmtId="0">
      <sharedItems containsString="0" containsBlank="1" containsNumber="1" minValue="0" maxValue="0.02" count="3">
        <n v="0"/>
        <n v="0.02"/>
        <m/>
      </sharedItems>
    </cacheField>
    <cacheField name="reported_1288_iso" numFmtId="0">
      <sharedItems containsString="0" containsBlank="1" count="1">
        <m/>
      </sharedItems>
    </cacheField>
    <cacheField name="reported_1286_iso" numFmtId="0">
      <sharedItems containsString="0" containsBlank="1" count="1">
        <m/>
      </sharedItems>
    </cacheField>
    <cacheField name="fGDGT_0" numFmtId="0">
      <sharedItems containsSemiMixedTypes="0" containsString="0" containsNumber="1" minValue="0" maxValue="1" count="164">
        <n v="0"/>
        <n v="0.00108956199607758"/>
        <n v="0.00115353558657285"/>
        <n v="0.0014149274849664"/>
        <n v="0.00217737343772952"/>
        <n v="0.00299393458170553"/>
        <n v="0.00329808729657128"/>
        <n v="0.00336240411894505"/>
        <n v="0.00378245424959274"/>
        <n v="0.00378787878787879"/>
        <n v="0.00558659217877095"/>
        <n v="0.00632111251580278"/>
        <n v="0.0065820165089523"/>
        <n v="0.00664763516353839"/>
        <n v="0.0125874125874126"/>
        <n v="0.0135413151623425"/>
        <n v="0.0137030944148316"/>
        <n v="0.0160116448326055"/>
        <n v="0.0210843373493976"/>
        <n v="0.0225435139348578"/>
        <n v="0.0275229357798165"/>
        <n v="0.0315422233618269"/>
        <n v="0.0324434001327038"/>
        <n v="0.036036036036036"/>
        <n v="0.0361840267895938"/>
        <n v="0.0384038403840384"/>
        <n v="0.0396856405117442"/>
        <n v="0.0421801422703136"/>
        <n v="0.0434782608695652"/>
        <n v="0.0495662949194548"/>
        <n v="0.0498281786941581"/>
        <n v="0.0503399679097273"/>
        <n v="0.0561797752808989"/>
        <n v="0.0578057805780578"/>
        <n v="0.0604"/>
        <n v="0.0670641799885095"/>
        <n v="0.0682926829268293"/>
        <n v="0.0702270959326888"/>
        <n v="0.0753651205348305"/>
        <n v="0.0781312525010004"/>
        <n v="0.0798722044728435"/>
        <n v="0.0799573560767591"/>
        <n v="0.0869565217391304"/>
        <n v="0.0895716573258607"/>
        <n v="0.0904016926032678"/>
        <n v="0.0933052787534755"/>
        <n v="0.0939716312056738"/>
        <n v="0.0944472236118059"/>
        <n v="0.0947368419052632"/>
        <n v="0.0950380152060824"/>
        <n v="0.0957253886010363"/>
        <n v="0.0960564048139003"/>
        <n v="0.0969290787236171"/>
        <n v="0.1"/>
        <n v="0.103386094970948"/>
        <n v="0.104513064133017"/>
        <n v="0.104904844642111"/>
        <n v="0.107374596264763"/>
        <n v="0.109649122807018"/>
        <n v="0.115746298519408"/>
        <n v="0.118541505042669"/>
        <n v="0.11864406779661"/>
        <n v="0.119658471043646"/>
        <n v="0.120341141088036"/>
        <n v="0.121212121212121"/>
        <n v="0.122322137000793"/>
        <n v="0.127637130801688"/>
        <n v="0.131578947368421"/>
        <n v="0.132352941176471"/>
        <n v="0.134697370569283"/>
        <n v="0.1347"/>
        <n v="0.135135135135135"/>
        <n v="0.136160714285714"/>
        <n v="0.137294394091977"/>
        <n v="0.137989360708539"/>
        <n v="0.140728476821192"/>
        <n v="0.140853092568511"/>
        <n v="0.143940297889696"/>
        <n v="0.147368421"/>
        <n v="0.148148148148148"/>
        <n v="0.148489093456074"/>
        <n v="0.156217882836588"/>
        <n v="0.159848385831917"/>
        <n v="0.159859976662777"/>
        <n v="0.160304967570937"/>
        <n v="0.164335239022017"/>
        <n v="0.164571428571429"/>
        <n v="0.16504854368932"/>
        <n v="0.166030719567944"/>
        <n v="0.168005852235794"/>
        <n v="0.170212765829787"/>
        <n v="0.174677325944995"/>
        <n v="0.177777777777778"/>
        <n v="0.180956780264808"/>
        <n v="0.193219845191028"/>
        <n v="0.193731752332279"/>
        <n v="0.195530726256983"/>
        <n v="0.19595676541233"/>
        <n v="0.201408450704225"/>
        <n v="0.2162"/>
        <n v="0.22230968177218"/>
        <n v="0.2276"/>
        <n v="0.236593059936909"/>
        <n v="0.238095238095238"/>
        <n v="0.242490573713855"/>
        <n v="0.246337983599996"/>
        <n v="0.249504719729635"/>
        <n v="0.252016129032258"/>
        <n v="0.2533"/>
        <n v="0.257142857142857"/>
        <n v="0.259757471788775"/>
        <n v="0.259894760924274"/>
        <n v="0.263345195729537"/>
        <n v="0.2723"/>
        <n v="0.277777777777778"/>
        <n v="0.2786"/>
        <n v="0.278996865203762"/>
        <n v="0.28"/>
        <n v="0.292401628222524"/>
        <n v="0.315789473684211"/>
        <n v="0.318181818181818"/>
        <n v="0.322646425739209"/>
        <n v="0.324503311258278"/>
        <n v="0.333333333333333"/>
        <n v="0.342987348475515"/>
        <n v="0.34357848518112"/>
        <n v="0.34460612646573"/>
        <n v="0.345982142857143"/>
        <n v="0.347457627118644"/>
        <n v="0.348742812041944"/>
        <n v="0.353211590422786"/>
        <n v="0.353386256512032"/>
        <n v="0.366106497745426"/>
        <n v="0.368817204301075"/>
        <n v="0.369478823662995"/>
        <n v="0.378787878787879"/>
        <n v="0.379203881354063"/>
        <n v="0.379610207503242"/>
        <n v="0.3809"/>
        <n v="0.3881"/>
        <n v="0.390407554671968"/>
        <n v="0.40713536201469"/>
        <n v="0.410751205653448"/>
        <n v="0.437775323736155"/>
        <n v="0.4396"/>
        <n v="0.445652173913043"/>
        <n v="0.460202604920405"/>
        <n v="0.463136033229491"/>
        <n v="0.46455223880597"/>
        <n v="0.483348334833483"/>
        <n v="0.491622061903654"/>
        <n v="0.5022"/>
        <n v="0.514026471181191"/>
        <n v="0.514794967381174"/>
        <n v="0.515723727749872"/>
        <n v="0.52524154589372"/>
        <n v="0.5399"/>
        <n v="0.549295774647887"/>
        <n v="0.563933654864134"/>
        <n v="0.5692"/>
        <n v="0.576"/>
        <n v="0.5934"/>
        <n v="0.685943524017922"/>
        <n v="1"/>
      </sharedItems>
    </cacheField>
    <cacheField name="fGDGT_1" numFmtId="0">
      <sharedItems containsSemiMixedTypes="0" containsString="0" containsNumber="1" minValue="0" maxValue="0.282258064516129" count="165">
        <n v="0"/>
        <n v="0.00138424270388741"/>
        <n v="0.00141643059490085"/>
        <n v="0.00165074873246079"/>
        <n v="0.00252525252525253"/>
        <n v="0.00319423193959942"/>
        <n v="0.00355934091791938"/>
        <n v="0.00399285489124724"/>
        <n v="0.00423127531487998"/>
        <n v="0.00442477876106195"/>
        <n v="0.00675675675675676"/>
        <n v="0.00862068965517241"/>
        <n v="0.0117098379657498"/>
        <n v="0.0159744408945687"/>
        <n v="0.0169491525423729"/>
        <n v="0.0195819474607653"/>
        <n v="0.0252274528552513"/>
        <n v="0.0270513976555455"/>
        <n v="0.0271"/>
        <n v="0.0279594572117512"/>
        <n v="0.029002900290029"/>
        <n v="0.0291120815138282"/>
        <n v="0.0292682926829268"/>
        <n v="0.0298"/>
        <n v="0.0308609065515753"/>
        <n v="0.0317031703170317"/>
        <n v="0.0334"/>
        <n v="0.0336"/>
        <n v="0.0337837837837838"/>
        <n v="0.0343853842277909"/>
        <n v="0.0344120124338682"/>
        <n v="0.034965034965035"/>
        <n v="0.0373"/>
        <n v="0.0378"/>
        <n v="0.0395"/>
        <n v="0.0404"/>
        <n v="0.0411710188988627"/>
        <n v="0.0420263488885757"/>
        <n v="0.0421686746987952"/>
        <n v="0.0452"/>
        <n v="0.0458715596330275"/>
        <n v="0.0464152225377312"/>
        <n v="0.0471047104710471"/>
        <n v="0.0483870967741936"/>
        <n v="0.0509358973571867"/>
        <n v="0.0526315789473684"/>
        <n v="0.0544692737430168"/>
        <n v="0.0568969759317034"/>
        <n v="0.0606826801517067"/>
        <n v="0.0614"/>
        <n v="0.0624187256176853"/>
        <n v="0.0628997867803838"/>
        <n v="0.0645161290322581"/>
        <n v="0.0656942571822177"/>
        <n v="0.0674529770714822"/>
        <n v="0.0684273709483794"/>
        <n v="0.0687285223367698"/>
        <n v="0.0704563650920737"/>
        <n v="0.0730112414736814"/>
        <n v="0.0731365682841421"/>
        <n v="0.0734299516908213"/>
        <n v="0.0736842109263158"/>
        <n v="0.073991295141748"/>
        <n v="0.0768872320596458"/>
        <n v="0.0781546811397558"/>
        <n v="0.0787176905001678"/>
        <n v="0.079031612645058"/>
        <n v="0.0794429973953116"/>
        <n v="0.080225988700565"/>
        <n v="0.0809364271854415"/>
        <n v="0.0831353919239905"/>
        <n v="0.0854084244821969"/>
        <n v="0.0894039735099339"/>
        <n v="0.0900360144057623"/>
        <n v="0.091015958798162"/>
        <n v="0.091543832428239"/>
        <n v="0.091563331146185"/>
        <n v="0.0946819085487078"/>
        <n v="0.0952380952380953"/>
        <n v="0.0957036146872512"/>
        <n v="0.0963"/>
        <n v="0.0964414400537243"/>
        <n v="0.10050196620786"/>
        <n v="0.101123595505618"/>
        <n v="0.101818181818182"/>
        <n v="0.101902173913043"/>
        <n v="0.102564102564103"/>
        <n v="0.102600967193831"/>
        <n v="0.10431315305613"/>
        <n v="0.104562737642586"/>
        <n v="0.105485232067511"/>
        <n v="0.106301165963781"/>
        <n v="0.106642837157997"/>
        <n v="0.107142857142857"/>
        <n v="0.108269850286558"/>
        <n v="0.10882306817256"/>
        <n v="0.109714285714286"/>
        <n v="0.111111111111111"/>
        <n v="0.111607142857143"/>
        <n v="0.112326768781911"/>
        <n v="0.113101791612451"/>
        <n v="0.115789474"/>
        <n v="0.115842369743454"/>
        <n v="0.116266793359274"/>
        <n v="0.117021276882979"/>
        <n v="0.118272341703722"/>
        <n v="0.118995196156926"/>
        <n v="0.1202"/>
        <n v="0.120520454294851"/>
        <n v="0.12069944362439"/>
        <n v="0.120870447626564"/>
        <n v="0.123598051433103"/>
        <n v="0.1259"/>
        <n v="0.126036269430052"/>
        <n v="0.126386708889941"/>
        <n v="0.127243656682075"/>
        <n v="0.129107981220657"/>
        <n v="0.129237288135593"/>
        <n v="0.129496402877698"/>
        <n v="0.132811792325685"/>
        <n v="0.133333333333333"/>
        <n v="0.133434331662976"/>
        <n v="0.133709782276437"/>
        <n v="0.13477679114463"/>
        <n v="0.1391"/>
        <n v="0.14"/>
        <n v="0.147058823529412"/>
        <n v="0.148989898989899"/>
        <n v="0.152112676056338"/>
        <n v="0.152173913043478"/>
        <n v="0.152253488904141"/>
        <n v="0.153985507246377"/>
        <n v="0.154211150652432"/>
        <n v="0.1547"/>
        <n v="0.156704876614819"/>
        <n v="0.15767965156189"/>
        <n v="0.157894736842105"/>
        <n v="0.159001461823906"/>
        <n v="0.162313432835821"/>
        <n v="0.16374269005848"/>
        <n v="0.164472238241683"/>
        <n v="0.166718861410788"/>
        <n v="0.174489795918367"/>
        <n v="0.174887305496125"/>
        <n v="0.175590425291608"/>
        <n v="0.177252789684837"/>
        <n v="0.17852975495916"/>
        <n v="0.180109248740323"/>
        <n v="0.183982683982684"/>
        <n v="0.186234817813765"/>
        <n v="0.186983456054805"/>
        <n v="0.195035460992908"/>
        <n v="0.198265179677819"/>
        <n v="0.19954664801487"/>
        <n v="0.199686089687055"/>
        <n v="0.199728320954813"/>
        <n v="0.205499276410999"/>
        <n v="0.206451612903226"/>
        <n v="0.208722741433022"/>
        <n v="0.214285714285714"/>
        <n v="0.220636663007684"/>
        <n v="0.242392444910808"/>
        <n v="0.250662999285091"/>
        <n v="0.256983240223464"/>
        <n v="0.282258064516129"/>
      </sharedItems>
    </cacheField>
    <cacheField name="fGDGT_2" numFmtId="0">
      <sharedItems containsSemiMixedTypes="0" containsString="0" containsNumber="1" minValue="0" maxValue="0.653795197605698" count="164">
        <n v="0"/>
        <n v="0.00173030337985927"/>
        <n v="0.00185225539333188"/>
        <n v="0.00200448060370239"/>
        <n v="0.00252525252525253"/>
        <n v="0.00298373151615479"/>
        <n v="0.00437855141444989"/>
        <n v="0.00493853104970054"/>
        <n v="0.00527169277991839"/>
        <n v="0.0134"/>
        <n v="0.0141"/>
        <n v="0.0146"/>
        <n v="0.0148935139910483"/>
        <n v="0.0151116938127541"/>
        <n v="0.0153015301530153"/>
        <n v="0.0178590937727049"/>
        <n v="0.018018018018018"/>
        <n v="0.0188"/>
        <n v="0.0189633375474083"/>
        <n v="0.0195530726256983"/>
        <n v="0.0197"/>
        <n v="0.02"/>
        <n v="0.0209"/>
        <n v="0.0212660593728863"/>
        <n v="0.0214447516974826"/>
        <n v="0.0237"/>
        <n v="0.024390243902439"/>
        <n v="0.0255591054313099"/>
        <n v="0.0264961081574683"/>
        <n v="0.026626649260938"/>
        <n v="0.0271"/>
        <n v="0.0346898789680326"/>
        <n v="0.035048422517656"/>
        <n v="0.036697247706422"/>
        <n v="0.0391566265060241"/>
        <n v="0.0405405405405405"/>
        <n v="0.0407281070398921"/>
        <n v="0.0447452878654551"/>
        <n v="0.0503652374005157"/>
        <n v="0.0520255331506438"/>
        <n v="0.0541125541125541"/>
        <n v="0.0553"/>
        <n v="0.0584192439862543"/>
        <n v="0.0602836879432624"/>
        <n v="0.0621035722000656"/>
        <n v="0.0621449691540855"/>
        <n v="0.0637082262388039"/>
        <n v="0.0732"/>
        <n v="0.0756048387096774"/>
        <n v="0.0769615692554043"/>
        <n v="0.0787746921634775"/>
        <n v="0.0809968847352025"/>
        <n v="0.0849472274353483"/>
        <n v="0.0857"/>
        <n v="0.0870316320768309"/>
        <n v="0.0909090909090909"/>
        <n v="0.0931586608442504"/>
        <n v="0.0937"/>
        <n v="0.0938967136150235"/>
        <n v="0.0947012855949596"/>
        <n v="0.100446428571429"/>
        <n v="0.106145251396648"/>
        <n v="0.107344632768362"/>
        <n v="0.107615894039735"/>
        <n v="0.108197377639876"/>
        <n v="0.1084"/>
        <n v="0.111827956989247"/>
        <n v="0.112359550561798"/>
        <n v="0.112611261126113"/>
        <n v="0.117523609653725"/>
        <n v="0.1197"/>
        <n v="0.119810201660735"/>
        <n v="0.122327790973872"/>
        <n v="0.123893805309735"/>
        <n v="0.124423963133641"/>
        <n v="0.124441034154723"/>
        <n v="0.126275765459276"/>
        <n v="0.131578947368421"/>
        <n v="0.133302080785347"/>
        <n v="0.134407526020817"/>
        <n v="0.135502368847285"/>
        <n v="0.141025641025641"/>
        <n v="0.144895718990121"/>
        <n v="0.148459383753501"/>
        <n v="0.15080971659919"/>
        <n v="0.151260504201681"/>
        <n v="0.152173913043478"/>
        <n v="0.153079000236393"/>
        <n v="0.153508771929825"/>
        <n v="0.154486790670343"/>
        <n v="0.155797101449275"/>
        <n v="0.156619761804301"/>
        <n v="0.157861831822445"/>
        <n v="0.158263305322129"/>
        <n v="0.159574467840426"/>
        <n v="0.162616261626163"/>
        <n v="0.166316000400761"/>
        <n v="0.166861143523921"/>
        <n v="0.168075053703548"/>
        <n v="0.169776119402985"/>
        <n v="0.172121212121212"/>
        <n v="0.173239436619718"/>
        <n v="0.178947368"/>
        <n v="0.180303173977843"/>
        <n v="0.183773509403762"/>
        <n v="0.186440677966102"/>
        <n v="0.191027496382055"/>
        <n v="0.198265179677819"/>
        <n v="0.209183673469388"/>
        <n v="0.210526315789474"/>
        <n v="0.222222222222222"/>
        <n v="0.224137931034483"/>
        <n v="0.225806451612903"/>
        <n v="0.232443241971533"/>
        <n v="0.244444444444444"/>
        <n v="0.246651785714286"/>
        <n v="0.247636196233137"/>
        <n v="0.249743062692703"/>
        <n v="0.250935545399202"/>
        <n v="0.255434782608696"/>
        <n v="0.255927963981991"/>
        <n v="0.259076674554494"/>
        <n v="0.261016949152542"/>
        <n v="0.263261097694696"/>
        <n v="0.266285714285714"/>
        <n v="0.267590866728798"/>
        <n v="0.270081024307292"/>
        <n v="0.274193548387097"/>
        <n v="0.279411764705882"/>
        <n v="0.280590717299578"/>
        <n v="0.285714285714286"/>
        <n v="0.287846481876333"/>
        <n v="0.291947870607401"/>
        <n v="0.295012823668306"/>
        <n v="0.297216699801193"/>
        <n v="0.308080808080808"/>
        <n v="0.328571428571429"/>
        <n v="0.332490943353288"/>
        <n v="0.34519970230712"/>
        <n v="0.367842605156038"/>
        <n v="0.375723856023618"/>
        <n v="0.384337279588335"/>
        <n v="0.388992445209368"/>
        <n v="0.393129040037848"/>
        <n v="0.398591897233202"/>
        <n v="0.399603043334436"/>
        <n v="0.407148494757019"/>
        <n v="0.410876132930514"/>
        <n v="0.411690688629604"/>
        <n v="0.411691401382123"/>
        <n v="0.414335211967716"/>
        <n v="0.440857708891738"/>
        <n v="0.452255432095788"/>
        <n v="0.458344353345676"/>
        <n v="0.458471807385635"/>
        <n v="0.47044220325834"/>
        <n v="0.47483989021043"/>
        <n v="0.474867873608456"/>
        <n v="0.483152901106921"/>
        <n v="0.497668393782383"/>
        <n v="0.503243317839244"/>
        <n v="0.511235789442681"/>
        <n v="0.532048581798695"/>
        <n v="0.653795197605698"/>
      </sharedItems>
    </cacheField>
    <cacheField name="fGDGT_3" numFmtId="0">
      <sharedItems containsSemiMixedTypes="0" containsString="0" containsNumber="1" minValue="0" maxValue="1" count="168">
        <n v="0"/>
        <n v="0.00369131387703311"/>
        <n v="0.00414033558509479"/>
        <n v="0.00417323493855747"/>
        <n v="0.00448060370239359"/>
        <n v="0.00631313131313131"/>
        <n v="0.00834611860472108"/>
        <n v="0.00846454726901264"/>
        <n v="0.00934111319516706"/>
        <n v="0.0096"/>
        <n v="0.00997848873346155"/>
        <n v="0.0105075128717033"/>
        <n v="0.0108225108225108"/>
        <n v="0.0112772581179225"/>
        <n v="0.0125"/>
        <n v="0.0127799295134205"/>
        <n v="0.0132"/>
        <n v="0.0143628095073541"/>
        <n v="0.0145"/>
        <n v="0.015"/>
        <n v="0.0158015801580158"/>
        <n v="0.0171"/>
        <n v="0.0183"/>
        <n v="0.018348623853211"/>
        <n v="0.0188325920691446"/>
        <n v="0.0194155324259408"/>
        <n v="0.020957003605465"/>
        <n v="0.0215"/>
        <n v="0.0222199979981984"/>
        <n v="0.0226135681408845"/>
        <n v="0.0238143841267373"/>
        <n v="0.0240963855421687"/>
        <n v="0.0247747747747748"/>
        <n v="0.0249221183800623"/>
        <n v="0.0254"/>
        <n v="0.0269107643057223"/>
        <n v="0.0269325610224898"/>
        <n v="0.027027027027027"/>
        <n v="0.0287589871834948"/>
        <n v="0.0290771175726928"/>
        <n v="0.0292682926829268"/>
        <n v="0.0295082800792846"/>
        <n v="0.0306122448979592"/>
        <n v="0.0308621207053304"/>
        <n v="0.0311827956989247"/>
        <n v="0.0314094228268481"/>
        <n v="0.0319488817891374"/>
        <n v="0.0323209839061975"/>
        <n v="0.0324967148172429"/>
        <n v="0.0327481370330143"/>
        <n v="0.0335781741867786"/>
        <n v="0.0348174087043522"/>
        <n v="0.0349034903490349"/>
        <n v="0.0351262349066959"/>
        <n v="0.0356"/>
        <n v="0.0374493927125506"/>
        <n v="0.0391459074733096"/>
        <n v="0.0394549225742002"/>
        <n v="0.0395471301091693"/>
        <n v="0.0400965513427551"/>
        <n v="0.0404649548978106"/>
        <n v="0.0405027932960894"/>
        <n v="0.0416333066453163"/>
        <n v="0.0419041904190419"/>
        <n v="0.0419681620839363"/>
        <n v="0.0425513711494926"/>
        <n v="0.0426"/>
        <n v="0.0426768182728912"/>
        <n v="0.0428"/>
        <n v="0.0428271874079479"/>
        <n v="0.0430172068827531"/>
        <n v="0.0437"/>
        <n v="0.0443612245348016"/>
        <n v="0.0446428571428571"/>
        <n v="0.0448613226757174"/>
        <n v="0.0454545454545455"/>
        <n v="0.0473186119873817"/>
        <n v="0.0476"/>
        <n v="0.0499949904819156"/>
        <n v="0.0502793296089386"/>
        <n v="0.0514112903225806"/>
        <n v="0.0516431924882629"/>
        <n v="0.0520019900763889"/>
        <n v="0.0541044776119403"/>
        <n v="0.0579710144927536"/>
        <n v="0.0585817060637205"/>
        <n v="0.0591836734693878"/>
        <n v="0.0605633802816901"/>
        <n v="0.0641773628938156"/>
        <n v="0.0660421603560885"/>
        <n v="0.0662861136999068"/>
        <n v="0.0677462201390245"/>
        <n v="0.0695364238410596"/>
        <n v="0.0736842109263158"/>
        <n v="0.0755205269968239"/>
        <n v="0.0778672797787893"/>
        <n v="0.0796118645936707"/>
        <n v="0.084210526"/>
        <n v="0.0851063829148936"/>
        <n v="0.0859106529209622"/>
        <n v="0.0863526570048309"/>
        <n v="0.0886431015284975"/>
        <n v="0.0889830508474576"/>
        <n v="0.0898876404494382"/>
        <n v="0.0907443072391526"/>
        <n v="0.0923847849294613"/>
        <n v="0.0932045613218525"/>
        <n v="0.0934967898263229"/>
        <n v="0.0941759603469641"/>
        <n v="0.0999205177699557"/>
        <n v="0.100210970464135"/>
        <n v="0.101026045777427"/>
        <n v="0.102564102564103"/>
        <n v="0.108956049945"/>
        <n v="0.11227766798419"/>
        <n v="0.116161616161616"/>
        <n v="0.116674950298211"/>
        <n v="0.12046908315565"/>
        <n v="0.120689655172414"/>
        <n v="0.121302578018996"/>
        <n v="0.121556280220398"/>
        <n v="0.125886524822695"/>
        <n v="0.126858842370167"/>
        <n v="0.131120690574114"/>
        <n v="0.137280037291691"/>
        <n v="0.140750739517649"/>
        <n v="0.141128122863215"/>
        <n v="0.141991583572641"/>
        <n v="0.150090268407304"/>
        <n v="0.157894736842105"/>
        <n v="0.161294246442039"/>
        <n v="0.172209026128266"/>
        <n v="0.174825174825175"/>
        <n v="0.176128093158661"/>
        <n v="0.178407131914682"/>
        <n v="0.195652173913044"/>
        <n v="0.195660697947981"/>
        <n v="0.19922420480993"/>
        <n v="0.208161635285536"/>
        <n v="0.208278233271621"/>
        <n v="0.208290155440415"/>
        <n v="0.212823094998322"/>
        <n v="0.220982142857143"/>
        <n v="0.234865030672237"/>
        <n v="0.236636507594404"/>
        <n v="0.244571428571429"/>
        <n v="0.245197740112994"/>
        <n v="0.251461988304094"/>
        <n v="0.252212389380531"/>
        <n v="0.254237288135593"/>
        <n v="0.277873255872094"/>
        <n v="0.300612788224063"/>
        <n v="0.334635945452702"/>
        <n v="0.341200499631437"/>
        <n v="0.357142857142857"/>
        <n v="0.380765659478952"/>
        <n v="0.380952380952381"/>
        <n v="0.403225806451613"/>
        <n v="0.427878787878788"/>
        <n v="0.436974789915966"/>
        <n v="0.441176470588235"/>
        <n v="0.444444444444445"/>
        <n v="0.518518518518519"/>
        <n v="0.525862068965517"/>
        <n v="0.57258064516129"/>
        <n v="0.675"/>
        <n v="0.736842105263158"/>
        <n v="1"/>
      </sharedItems>
    </cacheField>
    <cacheField name="fGDGT_cren" numFmtId="0">
      <sharedItems containsSemiMixedTypes="0" containsString="0" containsNumber="1" minValue="0" maxValue="1" count="168">
        <n v="0"/>
        <n v="0.00530447459100224"/>
        <n v="0.0151088881942274"/>
        <n v="0.0198430600668478"/>
        <n v="0.0210607564229794"/>
        <n v="0.0222121997970459"/>
        <n v="0.022264702575059"/>
        <n v="0.0341773589190417"/>
        <n v="0.034658185442217"/>
        <n v="0.0378170816848964"/>
        <n v="0.0389232024239599"/>
        <n v="0.0400331593994258"/>
        <n v="0.0493022191718142"/>
        <n v="0.0513198142064121"/>
        <n v="0.0541112810257617"/>
        <n v="0.0564408222843936"/>
        <n v="0.0595410628019324"/>
        <n v="0.0670500588158411"/>
        <n v="0.069046442687747"/>
        <n v="0.072279792746114"/>
        <n v="0.0744232200446539"/>
        <n v="0.0744408201304753"/>
        <n v="0.0887096774193548"/>
        <n v="0.0952129066384555"/>
        <n v="0.0969609261939219"/>
        <n v="0.100065306163913"/>
        <n v="0.10101888667992"/>
        <n v="0.105053822080383"/>
        <n v="0.120248254460822"/>
        <n v="0.138888888888889"/>
        <n v="0.140298507462687"/>
        <n v="0.143987244959791"/>
        <n v="0.145522388059702"/>
        <n v="0.146466015667715"/>
        <n v="0.153446368557124"/>
        <n v="0.16028868747902"/>
        <n v="0.161212121212121"/>
        <n v="0.1642008391846"/>
        <n v="0.171361502347418"/>
        <n v="0.181159420289855"/>
        <n v="0.187742705020959"/>
        <n v="0.197271773347324"/>
        <n v="0.2"/>
        <n v="0.221183800623053"/>
        <n v="0.23728813559322"/>
        <n v="0.241379310344828"/>
        <n v="0.252360366863356"/>
        <n v="0.254665203073546"/>
        <n v="0.270056497175141"/>
        <n v="0.271205357142857"/>
        <n v="0.273656574001917"/>
        <n v="0.27886239206237"/>
        <n v="0.280645161290323"/>
        <n v="0.281868787062314"/>
        <n v="0.285259193446433"/>
        <n v="0.290225818477399"/>
        <n v="0.295918367346939"/>
        <n v="0.301534860150147"/>
        <n v="0.307692307692308"/>
        <n v="0.321637426900585"/>
        <n v="0.32258064516129"/>
        <n v="0.323836035743518"/>
        <n v="0.323895412656285"/>
        <n v="0.325"/>
        <n v="0.3251"/>
        <n v="0.332661290322581"/>
        <n v="0.3517"/>
        <n v="0.367218352378995"/>
        <n v="0.367965367965368"/>
        <n v="0.3739"/>
        <n v="0.376582278481013"/>
        <n v="0.381596223389409"/>
        <n v="0.390625"/>
        <n v="0.390847108242858"/>
        <n v="0.391061452513967"/>
        <n v="0.399794450154162"/>
        <n v="0.4014"/>
        <n v="0.404225352112676"/>
        <n v="0.411764705882353"/>
        <n v="0.4127"/>
        <n v="0.417736289381564"/>
        <n v="0.419928825622776"/>
        <n v="0.421052631578947"/>
        <n v="0.422152067869504"/>
        <n v="0.428238197467388"/>
        <n v="0.436034115138593"/>
        <n v="0.4367"/>
        <n v="0.443262411347518"/>
        <n v="0.446096654275093"/>
        <n v="0.452780200627318"/>
        <n v="0.454031443867735"/>
        <n v="0.454245424542454"/>
        <n v="0.456521739130435"/>
        <n v="0.457446808542553"/>
        <n v="0.459619952494062"/>
        <n v="0.463157895"/>
        <n v="0.4799"/>
        <n v="0.4978"/>
        <n v="0.501219403861513"/>
        <n v="0.501718213058419"/>
        <n v="0.5178"/>
        <n v="0.521491847909416"/>
        <n v="0.534625021949592"/>
        <n v="0.534842904411954"/>
        <n v="0.535460638191458"/>
        <n v="0.536842104463158"/>
        <n v="0.538069034517259"/>
        <n v="0.5391"/>
        <n v="0.5441"/>
        <n v="0.5465"/>
        <n v="0.552383223469204"/>
        <n v="0.558536284083777"/>
        <n v="0.56"/>
        <n v="0.563224021312562"/>
        <n v="0.585768614891914"/>
        <n v="0.587528775898309"/>
        <n v="0.591216197481205"/>
        <n v="0.59271523178808"/>
        <n v="0.593756253752251"/>
        <n v="0.596275117453373"/>
        <n v="0.599388216966824"/>
        <n v="0.603541416566627"/>
        <n v="0.605142056822729"/>
        <n v="0.619469026548673"/>
        <n v="0.621468926553672"/>
        <n v="0.6258"/>
        <n v="0.638877458113502"/>
        <n v="0.640449438202247"/>
        <n v="0.642384105960265"/>
        <n v="0.64395912642757"/>
        <n v="0.649"/>
        <n v="0.653061224489796"/>
        <n v="0.657046083199454"/>
        <n v="0.657726180944756"/>
        <n v="0.661357558508973"/>
        <n v="0.671876287742252"/>
        <n v="0.685589519650655"/>
        <n v="0.686713286713287"/>
        <n v="0.695707070707071"/>
        <n v="0.701633102895501"/>
        <n v="0.702214603743325"/>
        <n v="0.702391450185513"/>
        <n v="0.702702702702703"/>
        <n v="0.706624605678233"/>
        <n v="0.712290502793296"/>
        <n v="0.713571357135714"/>
        <n v="0.7173"/>
        <n v="0.721003134796238"/>
        <n v="0.725018388147526"/>
        <n v="0.72976549219661"/>
        <n v="0.739173917391739"/>
        <n v="0.745891276864728"/>
        <n v="0.74979813127235"/>
        <n v="0.762693397254304"/>
        <n v="0.766419054356798"/>
        <n v="0.786921143336785"/>
        <n v="0.819512195121951"/>
        <n v="0.837060702875399"/>
        <n v="0.8526375008194"/>
        <n v="0.871559633027523"/>
        <n v="0.873493975903614"/>
        <n v="0.898467860061042"/>
        <n v="0.900900900900901"/>
        <n v="0.911571381925871"/>
        <n v="0.91304347826087"/>
        <n v="0.925324606663413"/>
        <n v="0.954545454545455"/>
        <n v="1"/>
      </sharedItems>
    </cacheField>
    <cacheField name="fGDGT_cren_prime" numFmtId="0">
      <sharedItems containsSemiMixedTypes="0" containsString="0" containsNumber="1" minValue="0" maxValue="0.408783802518795" count="123">
        <n v="0"/>
        <n v="0.00103842159916926"/>
        <n v="0.0010752688172043"/>
        <n v="0.00109769484083425"/>
        <n v="0.0012"/>
        <n v="0.0015"/>
        <n v="0.0017"/>
        <n v="0.002"/>
        <n v="0.00202429149797571"/>
        <n v="0.00209863588667366"/>
        <n v="0.00227278513108497"/>
        <n v="0.0023002300230023"/>
        <n v="0.00234334324517002"/>
        <n v="0.0024"/>
        <n v="0.0026"/>
        <n v="0.00261835459134835"/>
        <n v="0.00284852504287042"/>
        <n v="0.00290232185748599"/>
        <n v="0.00296740841695808"/>
        <n v="0.0029954114404571"/>
        <n v="0.003"/>
        <n v="0.0031"/>
        <n v="0.0034"/>
        <n v="0.00355871886120996"/>
        <n v="0.0036"/>
        <n v="0.00360180090045023"/>
        <n v="0.0037"/>
        <n v="0.00370111033309993"/>
        <n v="0.00373134328358209"/>
        <n v="0.00390351316184566"/>
        <n v="0.00396981152718629"/>
        <n v="0.00408163265306123"/>
        <n v="0.00430258154892936"/>
        <n v="0.00432900432900433"/>
        <n v="0.00434153400868307"/>
        <n v="0.00469483568075117"/>
        <n v="0.005"/>
        <n v="0.00526423379730162"/>
        <n v="0.00543478260869565"/>
        <n v="0.00550220088035214"/>
        <n v="0.00557903172573946"/>
        <n v="0.0056"/>
        <n v="0.0058"/>
        <n v="0.00590792621067985"/>
        <n v="0.00604838709677419"/>
        <n v="0.00607931839123843"/>
        <n v="0.00611099979963935"/>
        <n v="0.00616649537512847"/>
        <n v="0.00620496397117694"/>
        <n v="0.00625670430282941"/>
        <n v="0.00640256102440976"/>
        <n v="0.00669642857142857"/>
        <n v="0.00754743353131909"/>
        <n v="0.00770855127295781"/>
        <n v="0.00830151507373715"/>
        <n v="0.0084008400840084"/>
        <n v="0.00845070422535211"/>
        <n v="0.00890356142456983"/>
        <n v="0.00911248441589158"/>
        <n v="0.00930159294594193"/>
        <n v="0.00935462155281538"/>
        <n v="0.00946372239747634"/>
        <n v="0.00949367088607595"/>
        <n v="0.00958466453674121"/>
        <n v="0.0101010101010101"/>
        <n v="0.0105263159894737"/>
        <n v="0.010526316"/>
        <n v="0.0105932203389831"/>
        <n v="0.0106382979893617"/>
        <n v="0.0107098128790818"/>
        <n v="0.011231516294797"/>
        <n v="0.0118011801180118"/>
        <n v="0.0127931769722815"/>
        <n v="0.0128205128205128"/>
        <n v="0.0128243662959623"/>
        <n v="0.0128354725787631"/>
        <n v="0.0135135135135135"/>
        <n v="0.0136307311028501"/>
        <n v="0.0141191586436018"/>
        <n v="0.0143288428457404"/>
        <n v="0.0148571428571429"/>
        <n v="0.014895194497873"/>
        <n v="0.0154622454901997"/>
        <n v="0.0157575757575758"/>
        <n v="0.0161194067921139"/>
        <n v="0.017152407666668"/>
        <n v="0.0178571428571429"/>
        <n v="0.0191293347767074"/>
        <n v="0.0215303926528836"/>
        <n v="0.0221675166794273"/>
        <n v="0.0248587570621469"/>
        <n v="0.0258509224798953"/>
        <n v="0.026378069528211"/>
        <n v="0.0292682926829268"/>
        <n v="0.0303291946842352"/>
        <n v="0.033112582781457"/>
        <n v="0.0340171648263626"/>
        <n v="0.0402721963068477"/>
        <n v="0.0436863848160853"/>
        <n v="0.0453517678289111"/>
        <n v="0.048098615398547"/>
        <n v="0.0581947743467934"/>
        <n v="0.0594269261565375"/>
        <n v="0.0608108108108108"/>
        <n v="0.0736120849783247"/>
        <n v="0.0746753933365867"/>
        <n v="0.0815602836879433"/>
        <n v="0.0859370320067213"/>
        <n v="0.122597160437319"/>
        <n v="0.132234728995955"/>
        <n v="0.139064475347661"/>
        <n v="0.161247075843126"/>
        <n v="0.167597765363129"/>
        <n v="0.187784220241786"/>
        <n v="0.224030185119679"/>
        <n v="0.228808019176291"/>
        <n v="0.235395189003436"/>
        <n v="0.242242473180298"/>
        <n v="0.252180308920878"/>
        <n v="0.289141414141414"/>
        <n v="0.312956763974304"/>
        <n v="0.32290916850879"/>
        <n v="0.408783802518795"/>
      </sharedItems>
    </cacheField>
    <cacheField name="BITindex" numFmtId="0">
      <sharedItems count="1">
        <e v="#N/A"/>
      </sharedItems>
    </cacheField>
    <cacheField name="dataType_level0" numFmtId="0">
      <sharedItems count="1">
        <s v="Culture"/>
      </sharedItems>
    </cacheField>
    <cacheField name="dataType_level1" numFmtId="0">
      <sharedItems count="3">
        <s v="Culture - AOA"/>
        <s v="Culture - Hot spring"/>
        <s v="Culture - ThAOA"/>
      </sharedItems>
    </cacheField>
    <cacheField name="Source" numFmtId="0">
      <sharedItems count="18">
        <s v="Bale et al. (2019) AEM"/>
        <s v="Boyd et al. (2011) Extremophiles"/>
        <s v="Elling et al. (2015) GCA"/>
        <s v="Elling et al. (2017) Environmnental Microbiology"/>
        <s v="Elling et al. Unpublished"/>
        <s v="Feyhl-Buska et al. (2016) Frontiers in Microbiology"/>
        <s v="Hurley et al. (2016) PNAS"/>
        <s v="Jung et al. (2011) AEM"/>
        <s v="Jung et al. (2014) AEM"/>
        <s v="Jung et al. (2016) Environmental Microbiology Reports"/>
        <s v="Pearson et al. (2008) Applied and Environmental Microbiology"/>
        <s v="Pitcher et al. (2010) ISME"/>
        <s v="Pitcher et al. (2011) AEM"/>
        <s v="Qin et al. (2015) PNAS"/>
        <s v="Schouten et al. (2008) AEM"/>
        <s v="Sinninghe Damste et al. (2002) Journal of Lipid Research"/>
        <s v="Sinninghe Damste et al. (2012) AEM"/>
        <s v="Varma et al. (2024) Biogeosciences"/>
      </sharedItems>
    </cacheField>
    <cacheField name="short_remark" numFmtId="0">
      <sharedItems count="5">
        <s v="Data from original source"/>
        <s v="Data provided by Dr. Felix Elling"/>
        <s v="Data retrieved from Bale et al. (2019) AEM"/>
        <s v="Data retrieved from Tierney dataset"/>
        <s v="GDGT fractions digitized from the figure in the original paper"/>
      </sharedItems>
    </cacheField>
    <cacheField name="full_remark" numFmtId="0">
      <sharedItems count="13" longText="1">
        <s v="Data from original source"/>
        <s v="Data from original source; assumed GDGT-5 as Cren"/>
        <s v="Data from original source; assumed GDGT-5 as Cren - calculated from all IPL fractions"/>
        <s v="Data from original source; average abundance from 4 replicates"/>
        <s v="Data from original source; calculated from IPL fractions - assume ND as 0"/>
        <s v="Data from original source; Retrived from Table S3"/>
        <s v="Data provided by Dr. Felix Elling"/>
        <s v="Data retrieved from Bale et al. (2019) AEM"/>
        <s v="Data retrieved from Bale et al. (2019) AEM; Culturing pH 6.8-7.0"/>
        <s v="Data retrieved from Bale et al. (2019) AEM; optimum pH 6.5-7.0"/>
        <s v="Data retrieved from Bale et al. (2019) AEM; pH adjusted to optimum growth pH"/>
        <s v="Data retrieved from Tierney dataset"/>
        <s v="GDGT fractions digitized from Fig.2 in the original paper (total; acid+base hydrolysis -- different from reported values in Bale et al. 2019) ; pH were assumed based on the culturing approach that followed Konneke et al. (2005) with monitored pH range of 7.0-7.2"/>
      </sharedItems>
    </cacheField>
    <cacheField name="duplicate_Datasets" numFmtId="0">
      <sharedItems count="1">
        <s v="No"/>
      </sharedItems>
    </cacheField>
    <cacheField name="incomplete_GDGT_fractions" numFmtId="0">
      <sharedItems count="1">
        <s v="No"/>
      </sharedItems>
    </cacheField>
    <cacheField name="BIT_QC_above05" numFmtId="0">
      <sharedItems count="3">
        <s v="Not reported"/>
        <s v="Not reported; assumed low (discussed in text)"/>
        <s v="Not reported; Assumed no brGDGTs (Cultures)"/>
      </sharedItems>
    </cacheField>
    <cacheField name="gdgt0Cren_QC_above07" numFmtId="0">
      <sharedItems count="3">
        <s v="No"/>
        <s v="Yes"/>
        <e v="#DIV/0!"/>
      </sharedItems>
    </cacheField>
    <cacheField name="MI_QC_above05" numFmtId="0">
      <sharedItems count="2">
        <s v="No"/>
        <s v="Yes"/>
      </sharedItems>
    </cacheField>
    <cacheField name="QC_Indices_check" numFmtId="0">
      <sharedItems containsBlank="1" count="4">
        <s v="Fail"/>
        <s v="Pass"/>
        <e v="#DIV/0!"/>
        <m/>
      </sharedItems>
    </cacheField>
    <cacheField name="detectionLimit_check" numFmtId="0">
      <sharedItems containsBlank="1" count="3">
        <s v="Fail"/>
        <s v="Pass"/>
        <m/>
      </sharedItems>
    </cacheField>
    <cacheField name="Source2" numFmtId="0">
      <sharedItems count="18">
        <s v="Bale et al. (2019)"/>
        <s v="Boyd et al. (2011)"/>
        <s v="Elling et al. (2015)"/>
        <s v="Elling et al. (2017)"/>
        <s v="Elling et al. (unpublished)"/>
        <s v="Feyhl-Buska et al. (2016)"/>
        <s v="Hurley et al. (2016)"/>
        <s v="Jung et al. (2011)"/>
        <s v="Jung et al. (2014)"/>
        <s v="Jung et al. (2016)"/>
        <s v="Pearson et al. (2008)"/>
        <s v="Pitcher et al. (2010)"/>
        <s v="Pitcher et al. (2011)"/>
        <s v="Qin et al. (2015)"/>
        <s v="Schouten et al. (2008)"/>
        <s v="Sinninghe Damste et al. (2002)"/>
        <s v="Sinninghe Damste et al. (2012)"/>
        <s v="Varma et al. (2024)"/>
      </sharedItems>
    </cacheField>
    <cacheField name="firstAuthor_firstName" numFmtId="0">
      <sharedItems count="12">
        <s v="Angela"/>
        <s v="Ann"/>
        <s v="Devika"/>
        <s v="Eric"/>
        <s v="Felix"/>
        <s v="Jaap"/>
        <s v="Jayme"/>
        <s v="Man-Young"/>
        <s v="Nicole"/>
        <s v="Sarah"/>
        <s v="Stefan"/>
        <s v="Wei"/>
      </sharedItems>
    </cacheField>
    <cacheField name="DOI" numFmtId="0">
      <sharedItems count="18">
        <s v="10.1007/s00792-010-0339-y"/>
        <s v="10.1194/jlr.m200148-jlr200"/>
        <s v="https://doi.org/10.1016/j.gca.2015.09.004"/>
        <s v="https://doi.org/10.1038/ismej.2009.138"/>
        <s v="https://doi.org/10.1073/pnas.1501568112"/>
        <s v="https://doi.org/10.1073/pnas.1518534113"/>
        <s v="https://doi.org/10.1111/1462-2920.13759"/>
        <s v="https://doi.org/10.1111/1758-2229.12477"/>
        <s v="https://doi.org/10.1128/AEM.01332-19"/>
        <s v="https://doi.org/10.1128/AEM.01681-12"/>
        <s v="https://doi.org/10.1128/AEM.02450-07"/>
        <s v="https://doi.org/10.1128/AEM.02758-10"/>
        <s v="https://doi.org/10.1128/AEM.03730-13"/>
        <s v="https://doi.org/10.1128/AEM.05787-11"/>
        <s v="https://doi.org/10.3389/fmicb.2016.01323"/>
        <s v="https://doi.org/10.5194/bg-21-4875-2024"/>
        <s v="https://journals.asm.org/doi/10.1128/aem.01709-07#F2"/>
        <s v="Unpublished dataset"/>
      </sharedItems>
    </cacheField>
    <cacheField name="Taxonomy data update" numFmtId="0">
      <sharedItems count="2">
        <s v="GTDB Release 214.1; NCBI (retrieved from February 21, 2024)"/>
        <s v="Unpublished datase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x v="0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0"/>
    <x v="15"/>
    <x v="0"/>
    <x v="22"/>
    <x v="7"/>
    <x v="2"/>
    <x v="9"/>
    <x v="3"/>
    <x v="10"/>
    <x v="4"/>
    <x v="1"/>
    <x v="3"/>
    <x v="3"/>
    <x v="4"/>
    <x v="22"/>
    <x v="0"/>
    <x v="45"/>
    <x v="65"/>
    <x v="96"/>
    <x v="49"/>
    <x v="0"/>
    <x v="84"/>
    <x v="36"/>
    <x v="26"/>
    <x v="3"/>
    <x v="5"/>
    <x v="14"/>
    <x v="2"/>
    <x v="0"/>
    <x v="0"/>
    <x v="0"/>
    <x v="43"/>
    <x v="112"/>
    <x v="157"/>
    <x v="60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"/>
    <x v="17"/>
    <x v="0"/>
    <x v="22"/>
    <x v="7"/>
    <x v="2"/>
    <x v="9"/>
    <x v="3"/>
    <x v="10"/>
    <x v="4"/>
    <x v="1"/>
    <x v="3"/>
    <x v="3"/>
    <x v="4"/>
    <x v="24"/>
    <x v="0"/>
    <x v="42"/>
    <x v="57"/>
    <x v="92"/>
    <x v="84"/>
    <x v="0"/>
    <x v="73"/>
    <x v="36"/>
    <x v="26"/>
    <x v="3"/>
    <x v="5"/>
    <x v="14"/>
    <x v="2"/>
    <x v="0"/>
    <x v="0"/>
    <x v="0"/>
    <x v="14"/>
    <x v="62"/>
    <x v="149"/>
    <x v="124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2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2"/>
    <x v="19"/>
    <x v="0"/>
    <x v="22"/>
    <x v="7"/>
    <x v="2"/>
    <x v="9"/>
    <x v="3"/>
    <x v="10"/>
    <x v="4"/>
    <x v="1"/>
    <x v="3"/>
    <x v="3"/>
    <x v="4"/>
    <x v="28"/>
    <x v="0"/>
    <x v="19"/>
    <x v="65"/>
    <x v="101"/>
    <x v="91"/>
    <x v="0"/>
    <x v="84"/>
    <x v="36"/>
    <x v="26"/>
    <x v="3"/>
    <x v="5"/>
    <x v="14"/>
    <x v="2"/>
    <x v="0"/>
    <x v="0"/>
    <x v="0"/>
    <x v="9"/>
    <x v="73"/>
    <x v="148"/>
    <x v="123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3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3"/>
    <x v="15"/>
    <x v="0"/>
    <x v="22"/>
    <x v="7"/>
    <x v="2"/>
    <x v="9"/>
    <x v="3"/>
    <x v="10"/>
    <x v="4"/>
    <x v="1"/>
    <x v="4"/>
    <x v="3"/>
    <x v="4"/>
    <x v="29"/>
    <x v="74"/>
    <x v="115"/>
    <x v="70"/>
    <x v="58"/>
    <x v="91"/>
    <x v="0"/>
    <x v="12"/>
    <x v="36"/>
    <x v="26"/>
    <x v="3"/>
    <x v="5"/>
    <x v="14"/>
    <x v="2"/>
    <x v="0"/>
    <x v="0"/>
    <x v="96"/>
    <x v="163"/>
    <x v="61"/>
    <x v="79"/>
    <x v="74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4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4"/>
    <x v="17"/>
    <x v="0"/>
    <x v="22"/>
    <x v="7"/>
    <x v="2"/>
    <x v="9"/>
    <x v="3"/>
    <x v="10"/>
    <x v="4"/>
    <x v="1"/>
    <x v="4"/>
    <x v="3"/>
    <x v="4"/>
    <x v="26"/>
    <x v="49"/>
    <x v="56"/>
    <x v="46"/>
    <x v="41"/>
    <x v="113"/>
    <x v="0"/>
    <x v="0"/>
    <x v="36"/>
    <x v="26"/>
    <x v="3"/>
    <x v="5"/>
    <x v="14"/>
    <x v="2"/>
    <x v="0"/>
    <x v="0"/>
    <x v="18"/>
    <x v="38"/>
    <x v="34"/>
    <x v="31"/>
    <x v="160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5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5"/>
    <x v="19"/>
    <x v="0"/>
    <x v="22"/>
    <x v="7"/>
    <x v="2"/>
    <x v="9"/>
    <x v="3"/>
    <x v="10"/>
    <x v="4"/>
    <x v="1"/>
    <x v="4"/>
    <x v="3"/>
    <x v="4"/>
    <x v="17"/>
    <x v="48"/>
    <x v="50"/>
    <x v="44"/>
    <x v="38"/>
    <x v="96"/>
    <x v="0"/>
    <x v="6"/>
    <x v="36"/>
    <x v="26"/>
    <x v="3"/>
    <x v="5"/>
    <x v="14"/>
    <x v="2"/>
    <x v="0"/>
    <x v="0"/>
    <x v="20"/>
    <x v="40"/>
    <x v="33"/>
    <x v="23"/>
    <x v="159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6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6"/>
    <x v="15"/>
    <x v="0"/>
    <x v="22"/>
    <x v="7"/>
    <x v="2"/>
    <x v="9"/>
    <x v="3"/>
    <x v="10"/>
    <x v="4"/>
    <x v="1"/>
    <x v="2"/>
    <x v="3"/>
    <x v="4"/>
    <x v="6"/>
    <x v="45"/>
    <x v="45"/>
    <x v="41"/>
    <x v="40"/>
    <x v="39"/>
    <x v="0"/>
    <x v="20"/>
    <x v="36"/>
    <x v="26"/>
    <x v="3"/>
    <x v="5"/>
    <x v="14"/>
    <x v="2"/>
    <x v="0"/>
    <x v="0"/>
    <x v="67"/>
    <x v="136"/>
    <x v="77"/>
    <x v="129"/>
    <x v="82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7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7"/>
    <x v="17"/>
    <x v="0"/>
    <x v="22"/>
    <x v="7"/>
    <x v="2"/>
    <x v="9"/>
    <x v="3"/>
    <x v="10"/>
    <x v="4"/>
    <x v="1"/>
    <x v="2"/>
    <x v="3"/>
    <x v="4"/>
    <x v="7"/>
    <x v="28"/>
    <x v="46"/>
    <x v="43"/>
    <x v="43"/>
    <x v="43"/>
    <x v="0"/>
    <x v="25"/>
    <x v="36"/>
    <x v="26"/>
    <x v="3"/>
    <x v="5"/>
    <x v="14"/>
    <x v="2"/>
    <x v="0"/>
    <x v="0"/>
    <x v="28"/>
    <x v="129"/>
    <x v="86"/>
    <x v="135"/>
    <x v="92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8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8"/>
    <x v="19"/>
    <x v="0"/>
    <x v="22"/>
    <x v="7"/>
    <x v="2"/>
    <x v="9"/>
    <x v="3"/>
    <x v="10"/>
    <x v="4"/>
    <x v="1"/>
    <x v="2"/>
    <x v="3"/>
    <x v="4"/>
    <x v="12"/>
    <x v="45"/>
    <x v="48"/>
    <x v="45"/>
    <x v="41"/>
    <x v="61"/>
    <x v="0"/>
    <x v="29"/>
    <x v="36"/>
    <x v="26"/>
    <x v="3"/>
    <x v="5"/>
    <x v="14"/>
    <x v="2"/>
    <x v="0"/>
    <x v="0"/>
    <x v="32"/>
    <x v="83"/>
    <x v="67"/>
    <x v="103"/>
    <x v="127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9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9"/>
    <x v="15"/>
    <x v="0"/>
    <x v="22"/>
    <x v="7"/>
    <x v="2"/>
    <x v="9"/>
    <x v="3"/>
    <x v="10"/>
    <x v="4"/>
    <x v="1"/>
    <x v="5"/>
    <x v="3"/>
    <x v="4"/>
    <x v="18"/>
    <x v="0"/>
    <x v="47"/>
    <x v="67"/>
    <x v="106"/>
    <x v="35"/>
    <x v="0"/>
    <x v="69"/>
    <x v="36"/>
    <x v="26"/>
    <x v="3"/>
    <x v="5"/>
    <x v="14"/>
    <x v="2"/>
    <x v="0"/>
    <x v="0"/>
    <x v="0"/>
    <x v="52"/>
    <x v="127"/>
    <x v="164"/>
    <x v="22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0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0"/>
    <x v="17"/>
    <x v="0"/>
    <x v="22"/>
    <x v="7"/>
    <x v="2"/>
    <x v="9"/>
    <x v="3"/>
    <x v="10"/>
    <x v="4"/>
    <x v="1"/>
    <x v="5"/>
    <x v="3"/>
    <x v="4"/>
    <x v="19"/>
    <x v="0"/>
    <x v="19"/>
    <x v="63"/>
    <x v="103"/>
    <x v="44"/>
    <x v="0"/>
    <x v="73"/>
    <x v="36"/>
    <x v="26"/>
    <x v="3"/>
    <x v="5"/>
    <x v="14"/>
    <x v="2"/>
    <x v="0"/>
    <x v="0"/>
    <x v="0"/>
    <x v="11"/>
    <x v="111"/>
    <x v="163"/>
    <x v="45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1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1"/>
    <x v="19"/>
    <x v="0"/>
    <x v="22"/>
    <x v="7"/>
    <x v="2"/>
    <x v="9"/>
    <x v="3"/>
    <x v="10"/>
    <x v="4"/>
    <x v="1"/>
    <x v="5"/>
    <x v="3"/>
    <x v="4"/>
    <x v="21"/>
    <x v="0"/>
    <x v="0"/>
    <x v="55"/>
    <x v="98"/>
    <x v="55"/>
    <x v="0"/>
    <x v="80"/>
    <x v="36"/>
    <x v="26"/>
    <x v="3"/>
    <x v="5"/>
    <x v="14"/>
    <x v="2"/>
    <x v="0"/>
    <x v="0"/>
    <x v="0"/>
    <x v="0"/>
    <x v="85"/>
    <x v="159"/>
    <x v="78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2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2"/>
    <x v="15"/>
    <x v="0"/>
    <x v="22"/>
    <x v="7"/>
    <x v="2"/>
    <x v="9"/>
    <x v="3"/>
    <x v="10"/>
    <x v="4"/>
    <x v="1"/>
    <x v="6"/>
    <x v="3"/>
    <x v="4"/>
    <x v="13"/>
    <x v="0"/>
    <x v="0"/>
    <x v="0"/>
    <x v="71"/>
    <x v="36"/>
    <x v="0"/>
    <x v="62"/>
    <x v="36"/>
    <x v="26"/>
    <x v="3"/>
    <x v="5"/>
    <x v="14"/>
    <x v="2"/>
    <x v="0"/>
    <x v="0"/>
    <x v="0"/>
    <x v="0"/>
    <x v="0"/>
    <x v="165"/>
    <x v="63"/>
    <x v="0"/>
    <x v="0"/>
    <x v="0"/>
    <x v="2"/>
    <x v="0"/>
    <x v="0"/>
    <x v="3"/>
    <x v="0"/>
    <x v="0"/>
    <x v="2"/>
    <x v="0"/>
    <x v="1"/>
    <x v="0"/>
    <x v="0"/>
    <x v="0"/>
    <x v="8"/>
    <x v="8"/>
    <x v="0"/>
  </r>
  <r>
    <x v="13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3"/>
    <x v="17"/>
    <x v="0"/>
    <x v="22"/>
    <x v="7"/>
    <x v="2"/>
    <x v="9"/>
    <x v="3"/>
    <x v="10"/>
    <x v="4"/>
    <x v="1"/>
    <x v="6"/>
    <x v="3"/>
    <x v="4"/>
    <x v="11"/>
    <x v="0"/>
    <x v="0"/>
    <x v="0"/>
    <x v="31"/>
    <x v="50"/>
    <x v="0"/>
    <x v="49"/>
    <x v="36"/>
    <x v="26"/>
    <x v="3"/>
    <x v="5"/>
    <x v="14"/>
    <x v="2"/>
    <x v="0"/>
    <x v="0"/>
    <x v="0"/>
    <x v="0"/>
    <x v="0"/>
    <x v="75"/>
    <x v="166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14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4"/>
    <x v="19"/>
    <x v="0"/>
    <x v="22"/>
    <x v="7"/>
    <x v="2"/>
    <x v="9"/>
    <x v="3"/>
    <x v="10"/>
    <x v="4"/>
    <x v="1"/>
    <x v="6"/>
    <x v="3"/>
    <x v="4"/>
    <x v="8"/>
    <x v="0"/>
    <x v="0"/>
    <x v="0"/>
    <x v="0"/>
    <x v="48"/>
    <x v="0"/>
    <x v="45"/>
    <x v="36"/>
    <x v="26"/>
    <x v="3"/>
    <x v="5"/>
    <x v="14"/>
    <x v="2"/>
    <x v="0"/>
    <x v="0"/>
    <x v="0"/>
    <x v="0"/>
    <x v="0"/>
    <x v="0"/>
    <x v="167"/>
    <x v="0"/>
    <x v="0"/>
    <x v="0"/>
    <x v="2"/>
    <x v="0"/>
    <x v="0"/>
    <x v="3"/>
    <x v="0"/>
    <x v="0"/>
    <x v="2"/>
    <x v="0"/>
    <x v="0"/>
    <x v="1"/>
    <x v="0"/>
    <x v="0"/>
    <x v="8"/>
    <x v="8"/>
    <x v="0"/>
  </r>
  <r>
    <x v="15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5"/>
    <x v="15"/>
    <x v="0"/>
    <x v="22"/>
    <x v="7"/>
    <x v="2"/>
    <x v="9"/>
    <x v="3"/>
    <x v="10"/>
    <x v="4"/>
    <x v="1"/>
    <x v="12"/>
    <x v="3"/>
    <x v="4"/>
    <x v="39"/>
    <x v="76"/>
    <x v="129"/>
    <x v="91"/>
    <x v="141"/>
    <x v="103"/>
    <x v="0"/>
    <x v="12"/>
    <x v="36"/>
    <x v="26"/>
    <x v="3"/>
    <x v="5"/>
    <x v="14"/>
    <x v="2"/>
    <x v="0"/>
    <x v="0"/>
    <x v="58"/>
    <x v="139"/>
    <x v="88"/>
    <x v="147"/>
    <x v="59"/>
    <x v="0"/>
    <x v="0"/>
    <x v="0"/>
    <x v="2"/>
    <x v="0"/>
    <x v="0"/>
    <x v="4"/>
    <x v="0"/>
    <x v="0"/>
    <x v="2"/>
    <x v="0"/>
    <x v="1"/>
    <x v="0"/>
    <x v="0"/>
    <x v="0"/>
    <x v="8"/>
    <x v="8"/>
    <x v="0"/>
  </r>
  <r>
    <x v="16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6"/>
    <x v="17"/>
    <x v="0"/>
    <x v="22"/>
    <x v="7"/>
    <x v="2"/>
    <x v="9"/>
    <x v="3"/>
    <x v="10"/>
    <x v="4"/>
    <x v="1"/>
    <x v="12"/>
    <x v="3"/>
    <x v="4"/>
    <x v="42"/>
    <x v="50"/>
    <x v="60"/>
    <x v="76"/>
    <x v="131"/>
    <x v="138"/>
    <x v="0"/>
    <x v="0"/>
    <x v="36"/>
    <x v="26"/>
    <x v="3"/>
    <x v="5"/>
    <x v="14"/>
    <x v="2"/>
    <x v="0"/>
    <x v="0"/>
    <x v="14"/>
    <x v="31"/>
    <x v="55"/>
    <x v="132"/>
    <x v="137"/>
    <x v="0"/>
    <x v="0"/>
    <x v="0"/>
    <x v="2"/>
    <x v="0"/>
    <x v="0"/>
    <x v="4"/>
    <x v="0"/>
    <x v="0"/>
    <x v="2"/>
    <x v="0"/>
    <x v="0"/>
    <x v="1"/>
    <x v="0"/>
    <x v="0"/>
    <x v="8"/>
    <x v="8"/>
    <x v="0"/>
  </r>
  <r>
    <x v="17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7"/>
    <x v="19"/>
    <x v="0"/>
    <x v="22"/>
    <x v="7"/>
    <x v="2"/>
    <x v="9"/>
    <x v="3"/>
    <x v="10"/>
    <x v="4"/>
    <x v="1"/>
    <x v="12"/>
    <x v="3"/>
    <x v="4"/>
    <x v="40"/>
    <x v="51"/>
    <x v="58"/>
    <x v="75"/>
    <x v="130"/>
    <x v="136"/>
    <x v="0"/>
    <x v="6"/>
    <x v="36"/>
    <x v="26"/>
    <x v="3"/>
    <x v="5"/>
    <x v="14"/>
    <x v="2"/>
    <x v="0"/>
    <x v="0"/>
    <x v="17"/>
    <x v="21"/>
    <x v="56"/>
    <x v="133"/>
    <x v="136"/>
    <x v="0"/>
    <x v="0"/>
    <x v="0"/>
    <x v="2"/>
    <x v="0"/>
    <x v="0"/>
    <x v="4"/>
    <x v="0"/>
    <x v="0"/>
    <x v="2"/>
    <x v="0"/>
    <x v="0"/>
    <x v="1"/>
    <x v="0"/>
    <x v="0"/>
    <x v="8"/>
    <x v="8"/>
    <x v="0"/>
  </r>
  <r>
    <x v="18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8"/>
    <x v="15"/>
    <x v="0"/>
    <x v="22"/>
    <x v="7"/>
    <x v="2"/>
    <x v="9"/>
    <x v="3"/>
    <x v="10"/>
    <x v="4"/>
    <x v="2"/>
    <x v="10"/>
    <x v="3"/>
    <x v="2"/>
    <x v="53"/>
    <x v="68"/>
    <x v="127"/>
    <x v="67"/>
    <x v="106"/>
    <x v="109"/>
    <x v="87"/>
    <x v="109"/>
    <x v="36"/>
    <x v="26"/>
    <x v="3"/>
    <x v="5"/>
    <x v="12"/>
    <x v="2"/>
    <x v="0"/>
    <x v="0"/>
    <x v="46"/>
    <x v="151"/>
    <x v="43"/>
    <x v="121"/>
    <x v="87"/>
    <x v="106"/>
    <x v="0"/>
    <x v="0"/>
    <x v="2"/>
    <x v="0"/>
    <x v="0"/>
    <x v="3"/>
    <x v="0"/>
    <x v="0"/>
    <x v="2"/>
    <x v="0"/>
    <x v="0"/>
    <x v="1"/>
    <x v="1"/>
    <x v="0"/>
    <x v="8"/>
    <x v="8"/>
    <x v="0"/>
  </r>
  <r>
    <x v="19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19"/>
    <x v="17"/>
    <x v="0"/>
    <x v="22"/>
    <x v="7"/>
    <x v="2"/>
    <x v="9"/>
    <x v="3"/>
    <x v="10"/>
    <x v="4"/>
    <x v="2"/>
    <x v="10"/>
    <x v="3"/>
    <x v="2"/>
    <x v="58"/>
    <x v="42"/>
    <x v="72"/>
    <x v="48"/>
    <x v="73"/>
    <x v="140"/>
    <x v="91"/>
    <x v="94"/>
    <x v="36"/>
    <x v="26"/>
    <x v="3"/>
    <x v="5"/>
    <x v="13"/>
    <x v="2"/>
    <x v="0"/>
    <x v="0"/>
    <x v="10"/>
    <x v="46"/>
    <x v="19"/>
    <x v="61"/>
    <x v="144"/>
    <x v="112"/>
    <x v="0"/>
    <x v="0"/>
    <x v="2"/>
    <x v="0"/>
    <x v="0"/>
    <x v="3"/>
    <x v="0"/>
    <x v="0"/>
    <x v="2"/>
    <x v="0"/>
    <x v="0"/>
    <x v="1"/>
    <x v="1"/>
    <x v="0"/>
    <x v="8"/>
    <x v="8"/>
    <x v="0"/>
  </r>
  <r>
    <x v="20"/>
    <x v="22"/>
    <x v="12"/>
    <x v="16"/>
    <x v="2"/>
    <x v="1"/>
    <x v="1"/>
    <x v="4"/>
    <x v="11"/>
    <x v="11"/>
    <x v="1"/>
    <x v="3"/>
    <x v="7"/>
    <x v="2"/>
    <x v="11"/>
    <x v="11"/>
    <x v="6"/>
    <x v="2"/>
    <x v="2"/>
    <x v="1"/>
    <x v="10"/>
    <x v="10"/>
    <x v="20"/>
    <x v="19"/>
    <x v="0"/>
    <x v="22"/>
    <x v="7"/>
    <x v="2"/>
    <x v="9"/>
    <x v="3"/>
    <x v="10"/>
    <x v="4"/>
    <x v="2"/>
    <x v="10"/>
    <x v="3"/>
    <x v="2"/>
    <x v="60"/>
    <x v="45"/>
    <x v="80"/>
    <x v="51"/>
    <x v="65"/>
    <x v="152"/>
    <x v="90"/>
    <x v="73"/>
    <x v="36"/>
    <x v="26"/>
    <x v="3"/>
    <x v="5"/>
    <x v="11"/>
    <x v="2"/>
    <x v="0"/>
    <x v="0"/>
    <x v="11"/>
    <x v="48"/>
    <x v="18"/>
    <x v="39"/>
    <x v="151"/>
    <x v="110"/>
    <x v="0"/>
    <x v="0"/>
    <x v="2"/>
    <x v="0"/>
    <x v="0"/>
    <x v="3"/>
    <x v="0"/>
    <x v="0"/>
    <x v="2"/>
    <x v="0"/>
    <x v="0"/>
    <x v="1"/>
    <x v="1"/>
    <x v="0"/>
    <x v="8"/>
    <x v="8"/>
    <x v="0"/>
  </r>
  <r>
    <x v="57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1"/>
    <x v="3"/>
    <x v="0"/>
    <x v="18"/>
    <x v="7"/>
    <x v="2"/>
    <x v="9"/>
    <x v="3"/>
    <x v="10"/>
    <x v="4"/>
    <x v="2"/>
    <x v="11"/>
    <x v="3"/>
    <x v="6"/>
    <x v="72"/>
    <x v="92"/>
    <x v="108"/>
    <x v="105"/>
    <x v="147"/>
    <x v="90"/>
    <x v="79"/>
    <x v="99"/>
    <x v="36"/>
    <x v="26"/>
    <x v="3"/>
    <x v="5"/>
    <x v="14"/>
    <x v="2"/>
    <x v="0"/>
    <x v="0"/>
    <x v="64"/>
    <x v="84"/>
    <x v="100"/>
    <x v="158"/>
    <x v="36"/>
    <x v="83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58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2"/>
    <x v="5"/>
    <x v="0"/>
    <x v="18"/>
    <x v="7"/>
    <x v="2"/>
    <x v="9"/>
    <x v="3"/>
    <x v="10"/>
    <x v="4"/>
    <x v="2"/>
    <x v="11"/>
    <x v="3"/>
    <x v="6"/>
    <x v="85"/>
    <x v="107"/>
    <x v="116"/>
    <x v="125"/>
    <x v="145"/>
    <x v="94"/>
    <x v="79"/>
    <x v="83"/>
    <x v="36"/>
    <x v="26"/>
    <x v="3"/>
    <x v="5"/>
    <x v="14"/>
    <x v="2"/>
    <x v="0"/>
    <x v="0"/>
    <x v="86"/>
    <x v="96"/>
    <x v="124"/>
    <x v="145"/>
    <x v="42"/>
    <x v="80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59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3"/>
    <x v="9"/>
    <x v="0"/>
    <x v="18"/>
    <x v="7"/>
    <x v="2"/>
    <x v="9"/>
    <x v="3"/>
    <x v="10"/>
    <x v="4"/>
    <x v="2"/>
    <x v="11"/>
    <x v="3"/>
    <x v="6"/>
    <x v="82"/>
    <x v="94"/>
    <x v="98"/>
    <x v="124"/>
    <x v="146"/>
    <x v="107"/>
    <x v="85"/>
    <x v="77"/>
    <x v="36"/>
    <x v="26"/>
    <x v="3"/>
    <x v="5"/>
    <x v="14"/>
    <x v="2"/>
    <x v="0"/>
    <x v="0"/>
    <x v="61"/>
    <x v="68"/>
    <x v="122"/>
    <x v="146"/>
    <x v="48"/>
    <x v="90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0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4"/>
    <x v="14"/>
    <x v="0"/>
    <x v="18"/>
    <x v="7"/>
    <x v="2"/>
    <x v="9"/>
    <x v="3"/>
    <x v="10"/>
    <x v="4"/>
    <x v="2"/>
    <x v="11"/>
    <x v="3"/>
    <x v="6"/>
    <x v="85"/>
    <x v="83"/>
    <x v="96"/>
    <x v="89"/>
    <x v="136"/>
    <x v="127"/>
    <x v="88"/>
    <x v="93"/>
    <x v="36"/>
    <x v="26"/>
    <x v="3"/>
    <x v="5"/>
    <x v="14"/>
    <x v="2"/>
    <x v="0"/>
    <x v="0"/>
    <x v="55"/>
    <x v="70"/>
    <x v="72"/>
    <x v="131"/>
    <x v="94"/>
    <x v="101"/>
    <x v="0"/>
    <x v="0"/>
    <x v="0"/>
    <x v="2"/>
    <x v="0"/>
    <x v="0"/>
    <x v="0"/>
    <x v="0"/>
    <x v="2"/>
    <x v="0"/>
    <x v="0"/>
    <x v="1"/>
    <x v="1"/>
    <x v="2"/>
    <x v="4"/>
    <x v="2"/>
    <x v="0"/>
  </r>
  <r>
    <x v="61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5"/>
    <x v="3"/>
    <x v="0"/>
    <x v="18"/>
    <x v="7"/>
    <x v="2"/>
    <x v="9"/>
    <x v="3"/>
    <x v="10"/>
    <x v="4"/>
    <x v="2"/>
    <x v="11"/>
    <x v="3"/>
    <x v="6"/>
    <x v="82"/>
    <x v="134"/>
    <x v="149"/>
    <x v="108"/>
    <x v="82"/>
    <x v="115"/>
    <x v="32"/>
    <x v="28"/>
    <x v="36"/>
    <x v="26"/>
    <x v="3"/>
    <x v="5"/>
    <x v="14"/>
    <x v="2"/>
    <x v="0"/>
    <x v="0"/>
    <x v="119"/>
    <x v="149"/>
    <x v="84"/>
    <x v="55"/>
    <x v="58"/>
    <x v="8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2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6"/>
    <x v="5"/>
    <x v="0"/>
    <x v="18"/>
    <x v="7"/>
    <x v="2"/>
    <x v="9"/>
    <x v="3"/>
    <x v="10"/>
    <x v="4"/>
    <x v="2"/>
    <x v="11"/>
    <x v="3"/>
    <x v="6"/>
    <x v="72"/>
    <x v="101"/>
    <x v="116"/>
    <x v="122"/>
    <x v="144"/>
    <x v="108"/>
    <x v="82"/>
    <x v="70"/>
    <x v="36"/>
    <x v="26"/>
    <x v="3"/>
    <x v="5"/>
    <x v="14"/>
    <x v="2"/>
    <x v="0"/>
    <x v="0"/>
    <x v="72"/>
    <x v="93"/>
    <x v="115"/>
    <x v="142"/>
    <x v="49"/>
    <x v="86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3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27"/>
    <x v="9"/>
    <x v="0"/>
    <x v="18"/>
    <x v="7"/>
    <x v="2"/>
    <x v="9"/>
    <x v="3"/>
    <x v="10"/>
    <x v="4"/>
    <x v="2"/>
    <x v="11"/>
    <x v="3"/>
    <x v="6"/>
    <x v="72"/>
    <x v="76"/>
    <x v="86"/>
    <x v="132"/>
    <x v="126"/>
    <x v="131"/>
    <x v="76"/>
    <x v="56"/>
    <x v="36"/>
    <x v="26"/>
    <x v="3"/>
    <x v="5"/>
    <x v="14"/>
    <x v="2"/>
    <x v="0"/>
    <x v="0"/>
    <x v="41"/>
    <x v="51"/>
    <x v="131"/>
    <x v="117"/>
    <x v="85"/>
    <x v="72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4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28"/>
    <x v="5"/>
    <x v="0"/>
    <x v="18"/>
    <x v="7"/>
    <x v="2"/>
    <x v="9"/>
    <x v="3"/>
    <x v="10"/>
    <x v="4"/>
    <x v="2"/>
    <x v="11"/>
    <x v="3"/>
    <x v="6"/>
    <x v="86"/>
    <x v="125"/>
    <x v="147"/>
    <x v="120"/>
    <x v="102"/>
    <x v="113"/>
    <x v="46"/>
    <x v="34"/>
    <x v="36"/>
    <x v="26"/>
    <x v="3"/>
    <x v="5"/>
    <x v="14"/>
    <x v="2"/>
    <x v="0"/>
    <x v="0"/>
    <x v="109"/>
    <x v="142"/>
    <x v="108"/>
    <x v="86"/>
    <x v="56"/>
    <x v="31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5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29"/>
    <x v="7"/>
    <x v="0"/>
    <x v="18"/>
    <x v="7"/>
    <x v="2"/>
    <x v="9"/>
    <x v="3"/>
    <x v="10"/>
    <x v="4"/>
    <x v="2"/>
    <x v="11"/>
    <x v="3"/>
    <x v="6"/>
    <x v="85"/>
    <x v="109"/>
    <x v="135"/>
    <x v="127"/>
    <x v="101"/>
    <x v="128"/>
    <x v="55"/>
    <x v="39"/>
    <x v="36"/>
    <x v="26"/>
    <x v="3"/>
    <x v="5"/>
    <x v="14"/>
    <x v="2"/>
    <x v="0"/>
    <x v="0"/>
    <x v="81"/>
    <x v="118"/>
    <x v="117"/>
    <x v="85"/>
    <x v="75"/>
    <x v="47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6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0"/>
    <x v="9"/>
    <x v="0"/>
    <x v="18"/>
    <x v="7"/>
    <x v="2"/>
    <x v="9"/>
    <x v="3"/>
    <x v="10"/>
    <x v="4"/>
    <x v="2"/>
    <x v="11"/>
    <x v="3"/>
    <x v="6"/>
    <x v="85"/>
    <x v="100"/>
    <x v="119"/>
    <x v="131"/>
    <x v="118"/>
    <x v="122"/>
    <x v="68"/>
    <x v="49"/>
    <x v="36"/>
    <x v="26"/>
    <x v="3"/>
    <x v="5"/>
    <x v="14"/>
    <x v="2"/>
    <x v="0"/>
    <x v="0"/>
    <x v="66"/>
    <x v="90"/>
    <x v="129"/>
    <x v="110"/>
    <x v="70"/>
    <x v="62"/>
    <x v="0"/>
    <x v="0"/>
    <x v="0"/>
    <x v="2"/>
    <x v="0"/>
    <x v="0"/>
    <x v="0"/>
    <x v="0"/>
    <x v="2"/>
    <x v="0"/>
    <x v="1"/>
    <x v="0"/>
    <x v="1"/>
    <x v="2"/>
    <x v="4"/>
    <x v="2"/>
    <x v="0"/>
  </r>
  <r>
    <x v="67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1"/>
    <x v="14"/>
    <x v="0"/>
    <x v="18"/>
    <x v="7"/>
    <x v="2"/>
    <x v="9"/>
    <x v="3"/>
    <x v="10"/>
    <x v="4"/>
    <x v="2"/>
    <x v="11"/>
    <x v="3"/>
    <x v="6"/>
    <x v="80"/>
    <x v="70"/>
    <x v="79"/>
    <x v="95"/>
    <x v="80"/>
    <x v="169"/>
    <x v="65"/>
    <x v="113"/>
    <x v="36"/>
    <x v="26"/>
    <x v="3"/>
    <x v="5"/>
    <x v="14"/>
    <x v="2"/>
    <x v="0"/>
    <x v="0"/>
    <x v="33"/>
    <x v="42"/>
    <x v="68"/>
    <x v="52"/>
    <x v="150"/>
    <x v="55"/>
    <x v="0"/>
    <x v="0"/>
    <x v="0"/>
    <x v="2"/>
    <x v="0"/>
    <x v="0"/>
    <x v="0"/>
    <x v="0"/>
    <x v="2"/>
    <x v="0"/>
    <x v="0"/>
    <x v="1"/>
    <x v="1"/>
    <x v="2"/>
    <x v="4"/>
    <x v="2"/>
    <x v="0"/>
  </r>
  <r>
    <x v="68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32"/>
    <x v="11"/>
    <x v="0"/>
    <x v="17"/>
    <x v="7"/>
    <x v="2"/>
    <x v="9"/>
    <x v="3"/>
    <x v="10"/>
    <x v="4"/>
    <x v="1"/>
    <x v="2"/>
    <x v="3"/>
    <x v="8"/>
    <x v="20"/>
    <x v="67"/>
    <x v="59"/>
    <x v="58"/>
    <x v="52"/>
    <x v="76"/>
    <x v="49"/>
    <x v="38"/>
    <x v="36"/>
    <x v="26"/>
    <x v="3"/>
    <x v="5"/>
    <x v="14"/>
    <x v="2"/>
    <x v="0"/>
    <x v="0"/>
    <x v="105"/>
    <x v="103"/>
    <x v="59"/>
    <x v="91"/>
    <x v="89"/>
    <x v="89"/>
    <x v="0"/>
    <x v="0"/>
    <x v="0"/>
    <x v="3"/>
    <x v="0"/>
    <x v="1"/>
    <x v="0"/>
    <x v="0"/>
    <x v="2"/>
    <x v="0"/>
    <x v="0"/>
    <x v="1"/>
    <x v="1"/>
    <x v="3"/>
    <x v="4"/>
    <x v="6"/>
    <x v="0"/>
  </r>
  <r>
    <x v="69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3"/>
    <x v="9"/>
    <x v="0"/>
    <x v="18"/>
    <x v="7"/>
    <x v="2"/>
    <x v="9"/>
    <x v="3"/>
    <x v="10"/>
    <x v="4"/>
    <x v="1"/>
    <x v="2"/>
    <x v="3"/>
    <x v="8"/>
    <x v="34"/>
    <x v="73"/>
    <x v="95"/>
    <x v="96"/>
    <x v="104"/>
    <x v="89"/>
    <x v="47"/>
    <x v="52"/>
    <x v="36"/>
    <x v="26"/>
    <x v="3"/>
    <x v="5"/>
    <x v="14"/>
    <x v="2"/>
    <x v="0"/>
    <x v="0"/>
    <x v="77"/>
    <x v="134"/>
    <x v="121"/>
    <x v="125"/>
    <x v="55"/>
    <x v="59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0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34"/>
    <x v="11"/>
    <x v="0"/>
    <x v="17"/>
    <x v="7"/>
    <x v="2"/>
    <x v="9"/>
    <x v="3"/>
    <x v="10"/>
    <x v="4"/>
    <x v="1"/>
    <x v="2"/>
    <x v="3"/>
    <x v="8"/>
    <x v="23"/>
    <x v="65"/>
    <x v="76"/>
    <x v="69"/>
    <x v="46"/>
    <x v="80"/>
    <x v="33"/>
    <x v="32"/>
    <x v="36"/>
    <x v="26"/>
    <x v="3"/>
    <x v="5"/>
    <x v="14"/>
    <x v="2"/>
    <x v="0"/>
    <x v="0"/>
    <x v="95"/>
    <x v="144"/>
    <x v="91"/>
    <x v="65"/>
    <x v="83"/>
    <x v="60"/>
    <x v="0"/>
    <x v="0"/>
    <x v="0"/>
    <x v="3"/>
    <x v="0"/>
    <x v="1"/>
    <x v="0"/>
    <x v="0"/>
    <x v="2"/>
    <x v="0"/>
    <x v="0"/>
    <x v="1"/>
    <x v="1"/>
    <x v="3"/>
    <x v="4"/>
    <x v="6"/>
    <x v="0"/>
  </r>
  <r>
    <x v="71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35"/>
    <x v="9"/>
    <x v="0"/>
    <x v="18"/>
    <x v="7"/>
    <x v="2"/>
    <x v="9"/>
    <x v="3"/>
    <x v="10"/>
    <x v="4"/>
    <x v="1"/>
    <x v="2"/>
    <x v="3"/>
    <x v="8"/>
    <x v="9"/>
    <x v="17"/>
    <x v="6"/>
    <x v="66"/>
    <x v="67"/>
    <x v="37"/>
    <x v="41"/>
    <x v="37"/>
    <x v="36"/>
    <x v="26"/>
    <x v="3"/>
    <x v="5"/>
    <x v="14"/>
    <x v="2"/>
    <x v="0"/>
    <x v="0"/>
    <x v="16"/>
    <x v="8"/>
    <x v="150"/>
    <x v="152"/>
    <x v="40"/>
    <x v="99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2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36"/>
    <x v="9"/>
    <x v="0"/>
    <x v="18"/>
    <x v="7"/>
    <x v="2"/>
    <x v="9"/>
    <x v="3"/>
    <x v="10"/>
    <x v="4"/>
    <x v="1"/>
    <x v="2"/>
    <x v="3"/>
    <x v="8"/>
    <x v="25"/>
    <x v="66"/>
    <x v="82"/>
    <x v="79"/>
    <x v="77"/>
    <x v="73"/>
    <x v="31"/>
    <x v="35"/>
    <x v="36"/>
    <x v="26"/>
    <x v="3"/>
    <x v="5"/>
    <x v="14"/>
    <x v="2"/>
    <x v="0"/>
    <x v="0"/>
    <x v="89"/>
    <x v="150"/>
    <x v="118"/>
    <x v="113"/>
    <x v="51"/>
    <x v="49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3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37"/>
    <x v="11"/>
    <x v="0"/>
    <x v="17"/>
    <x v="7"/>
    <x v="2"/>
    <x v="9"/>
    <x v="3"/>
    <x v="10"/>
    <x v="4"/>
    <x v="1"/>
    <x v="3"/>
    <x v="3"/>
    <x v="8"/>
    <x v="32"/>
    <x v="29"/>
    <x v="66"/>
    <x v="114"/>
    <x v="119"/>
    <x v="34"/>
    <x v="69"/>
    <x v="91"/>
    <x v="36"/>
    <x v="26"/>
    <x v="3"/>
    <x v="5"/>
    <x v="14"/>
    <x v="2"/>
    <x v="0"/>
    <x v="0"/>
    <x v="13"/>
    <x v="79"/>
    <x v="162"/>
    <x v="151"/>
    <x v="8"/>
    <x v="94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4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38"/>
    <x v="9"/>
    <x v="0"/>
    <x v="18"/>
    <x v="7"/>
    <x v="2"/>
    <x v="9"/>
    <x v="3"/>
    <x v="10"/>
    <x v="4"/>
    <x v="1"/>
    <x v="3"/>
    <x v="3"/>
    <x v="8"/>
    <x v="10"/>
    <x v="0"/>
    <x v="0"/>
    <x v="0"/>
    <x v="0"/>
    <x v="75"/>
    <x v="62"/>
    <x v="0"/>
    <x v="36"/>
    <x v="26"/>
    <x v="3"/>
    <x v="5"/>
    <x v="14"/>
    <x v="2"/>
    <x v="0"/>
    <x v="0"/>
    <x v="0"/>
    <x v="0"/>
    <x v="0"/>
    <x v="0"/>
    <x v="165"/>
    <x v="105"/>
    <x v="0"/>
    <x v="0"/>
    <x v="0"/>
    <x v="3"/>
    <x v="0"/>
    <x v="1"/>
    <x v="0"/>
    <x v="0"/>
    <x v="2"/>
    <x v="0"/>
    <x v="0"/>
    <x v="1"/>
    <x v="0"/>
    <x v="3"/>
    <x v="4"/>
    <x v="6"/>
    <x v="0"/>
  </r>
  <r>
    <x v="75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39"/>
    <x v="11"/>
    <x v="0"/>
    <x v="17"/>
    <x v="7"/>
    <x v="2"/>
    <x v="9"/>
    <x v="3"/>
    <x v="10"/>
    <x v="4"/>
    <x v="1"/>
    <x v="3"/>
    <x v="3"/>
    <x v="8"/>
    <x v="5"/>
    <x v="0"/>
    <x v="0"/>
    <x v="0"/>
    <x v="0"/>
    <x v="33"/>
    <x v="57"/>
    <x v="26"/>
    <x v="36"/>
    <x v="26"/>
    <x v="3"/>
    <x v="5"/>
    <x v="14"/>
    <x v="2"/>
    <x v="0"/>
    <x v="0"/>
    <x v="0"/>
    <x v="0"/>
    <x v="0"/>
    <x v="0"/>
    <x v="116"/>
    <x v="122"/>
    <x v="0"/>
    <x v="0"/>
    <x v="0"/>
    <x v="3"/>
    <x v="0"/>
    <x v="1"/>
    <x v="0"/>
    <x v="0"/>
    <x v="2"/>
    <x v="0"/>
    <x v="0"/>
    <x v="1"/>
    <x v="0"/>
    <x v="3"/>
    <x v="4"/>
    <x v="6"/>
    <x v="0"/>
  </r>
  <r>
    <x v="76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0"/>
    <x v="9"/>
    <x v="0"/>
    <x v="18"/>
    <x v="7"/>
    <x v="2"/>
    <x v="9"/>
    <x v="3"/>
    <x v="10"/>
    <x v="4"/>
    <x v="1"/>
    <x v="3"/>
    <x v="3"/>
    <x v="8"/>
    <x v="14"/>
    <x v="4"/>
    <x v="41"/>
    <x v="74"/>
    <x v="69"/>
    <x v="1"/>
    <x v="40"/>
    <x v="41"/>
    <x v="36"/>
    <x v="26"/>
    <x v="3"/>
    <x v="5"/>
    <x v="14"/>
    <x v="2"/>
    <x v="0"/>
    <x v="0"/>
    <x v="8"/>
    <x v="16"/>
    <x v="163"/>
    <x v="150"/>
    <x v="1"/>
    <x v="96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7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1"/>
    <x v="9"/>
    <x v="0"/>
    <x v="18"/>
    <x v="7"/>
    <x v="2"/>
    <x v="9"/>
    <x v="3"/>
    <x v="10"/>
    <x v="4"/>
    <x v="1"/>
    <x v="3"/>
    <x v="3"/>
    <x v="8"/>
    <x v="27"/>
    <x v="12"/>
    <x v="52"/>
    <x v="103"/>
    <x v="122"/>
    <x v="17"/>
    <x v="72"/>
    <x v="64"/>
    <x v="36"/>
    <x v="26"/>
    <x v="3"/>
    <x v="5"/>
    <x v="14"/>
    <x v="2"/>
    <x v="0"/>
    <x v="0"/>
    <x v="6"/>
    <x v="36"/>
    <x v="161"/>
    <x v="155"/>
    <x v="3"/>
    <x v="98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8"/>
    <x v="17"/>
    <x v="5"/>
    <x v="28"/>
    <x v="2"/>
    <x v="1"/>
    <x v="1"/>
    <x v="3"/>
    <x v="7"/>
    <x v="11"/>
    <x v="1"/>
    <x v="3"/>
    <x v="4"/>
    <x v="4"/>
    <x v="3"/>
    <x v="11"/>
    <x v="6"/>
    <x v="4"/>
    <x v="4"/>
    <x v="0"/>
    <x v="10"/>
    <x v="10"/>
    <x v="42"/>
    <x v="25"/>
    <x v="0"/>
    <x v="15"/>
    <x v="7"/>
    <x v="2"/>
    <x v="9"/>
    <x v="3"/>
    <x v="10"/>
    <x v="4"/>
    <x v="1"/>
    <x v="2"/>
    <x v="3"/>
    <x v="8"/>
    <x v="44"/>
    <x v="25"/>
    <x v="40"/>
    <x v="39"/>
    <x v="35"/>
    <x v="162"/>
    <x v="89"/>
    <x v="44"/>
    <x v="36"/>
    <x v="26"/>
    <x v="3"/>
    <x v="5"/>
    <x v="14"/>
    <x v="2"/>
    <x v="0"/>
    <x v="0"/>
    <x v="4"/>
    <x v="5"/>
    <x v="8"/>
    <x v="3"/>
    <x v="163"/>
    <x v="104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89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43"/>
    <x v="17"/>
    <x v="0"/>
    <x v="20"/>
    <x v="7"/>
    <x v="2"/>
    <x v="9"/>
    <x v="3"/>
    <x v="9"/>
    <x v="4"/>
    <x v="1"/>
    <x v="2"/>
    <x v="3"/>
    <x v="8"/>
    <x v="33"/>
    <x v="53"/>
    <x v="55"/>
    <x v="52"/>
    <x v="50"/>
    <x v="125"/>
    <x v="61"/>
    <x v="50"/>
    <x v="36"/>
    <x v="26"/>
    <x v="3"/>
    <x v="5"/>
    <x v="14"/>
    <x v="2"/>
    <x v="0"/>
    <x v="0"/>
    <x v="24"/>
    <x v="24"/>
    <x v="31"/>
    <x v="41"/>
    <x v="158"/>
    <x v="84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90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44"/>
    <x v="17"/>
    <x v="0"/>
    <x v="20"/>
    <x v="7"/>
    <x v="2"/>
    <x v="9"/>
    <x v="3"/>
    <x v="9"/>
    <x v="4"/>
    <x v="1"/>
    <x v="3"/>
    <x v="3"/>
    <x v="8"/>
    <x v="16"/>
    <x v="11"/>
    <x v="54"/>
    <x v="73"/>
    <x v="89"/>
    <x v="16"/>
    <x v="64"/>
    <x v="58"/>
    <x v="36"/>
    <x v="26"/>
    <x v="3"/>
    <x v="5"/>
    <x v="14"/>
    <x v="2"/>
    <x v="0"/>
    <x v="0"/>
    <x v="12"/>
    <x v="82"/>
    <x v="152"/>
    <x v="153"/>
    <x v="11"/>
    <x v="10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78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45"/>
    <x v="11"/>
    <x v="0"/>
    <x v="17"/>
    <x v="7"/>
    <x v="2"/>
    <x v="9"/>
    <x v="3"/>
    <x v="10"/>
    <x v="4"/>
    <x v="1"/>
    <x v="12"/>
    <x v="3"/>
    <x v="8"/>
    <x v="62"/>
    <x v="86"/>
    <x v="152"/>
    <x v="139"/>
    <x v="110"/>
    <x v="87"/>
    <x v="77"/>
    <x v="76"/>
    <x v="36"/>
    <x v="26"/>
    <x v="3"/>
    <x v="5"/>
    <x v="14"/>
    <x v="2"/>
    <x v="0"/>
    <x v="0"/>
    <x v="57"/>
    <x v="162"/>
    <x v="142"/>
    <x v="105"/>
    <x v="33"/>
    <x v="78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79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46"/>
    <x v="9"/>
    <x v="0"/>
    <x v="18"/>
    <x v="7"/>
    <x v="2"/>
    <x v="9"/>
    <x v="3"/>
    <x v="10"/>
    <x v="4"/>
    <x v="1"/>
    <x v="12"/>
    <x v="3"/>
    <x v="8"/>
    <x v="81"/>
    <x v="99"/>
    <x v="140"/>
    <x v="141"/>
    <x v="132"/>
    <x v="92"/>
    <x v="63"/>
    <x v="78"/>
    <x v="36"/>
    <x v="26"/>
    <x v="3"/>
    <x v="5"/>
    <x v="14"/>
    <x v="2"/>
    <x v="0"/>
    <x v="0"/>
    <x v="69"/>
    <x v="135"/>
    <x v="143"/>
    <x v="127"/>
    <x v="37"/>
    <x v="54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80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47"/>
    <x v="11"/>
    <x v="0"/>
    <x v="17"/>
    <x v="7"/>
    <x v="2"/>
    <x v="9"/>
    <x v="3"/>
    <x v="10"/>
    <x v="4"/>
    <x v="1"/>
    <x v="12"/>
    <x v="3"/>
    <x v="8"/>
    <x v="70"/>
    <x v="72"/>
    <x v="138"/>
    <x v="149"/>
    <x v="127"/>
    <x v="86"/>
    <x v="74"/>
    <x v="97"/>
    <x v="36"/>
    <x v="26"/>
    <x v="3"/>
    <x v="5"/>
    <x v="14"/>
    <x v="2"/>
    <x v="0"/>
    <x v="0"/>
    <x v="38"/>
    <x v="141"/>
    <x v="154"/>
    <x v="126"/>
    <x v="31"/>
    <x v="79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81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8"/>
    <x v="9"/>
    <x v="0"/>
    <x v="18"/>
    <x v="7"/>
    <x v="2"/>
    <x v="9"/>
    <x v="3"/>
    <x v="10"/>
    <x v="4"/>
    <x v="1"/>
    <x v="12"/>
    <x v="3"/>
    <x v="8"/>
    <x v="71"/>
    <x v="69"/>
    <x v="113"/>
    <x v="153"/>
    <x v="142"/>
    <x v="74"/>
    <x v="80"/>
    <x v="92"/>
    <x v="36"/>
    <x v="26"/>
    <x v="3"/>
    <x v="5"/>
    <x v="14"/>
    <x v="2"/>
    <x v="0"/>
    <x v="0"/>
    <x v="35"/>
    <x v="88"/>
    <x v="160"/>
    <x v="138"/>
    <x v="25"/>
    <x v="85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82"/>
    <x v="24"/>
    <x v="9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49"/>
    <x v="9"/>
    <x v="0"/>
    <x v="18"/>
    <x v="7"/>
    <x v="2"/>
    <x v="9"/>
    <x v="3"/>
    <x v="10"/>
    <x v="4"/>
    <x v="1"/>
    <x v="12"/>
    <x v="3"/>
    <x v="8"/>
    <x v="79"/>
    <x v="110"/>
    <x v="148"/>
    <x v="142"/>
    <x v="129"/>
    <x v="78"/>
    <x v="50"/>
    <x v="63"/>
    <x v="36"/>
    <x v="26"/>
    <x v="3"/>
    <x v="5"/>
    <x v="14"/>
    <x v="2"/>
    <x v="0"/>
    <x v="0"/>
    <x v="91"/>
    <x v="153"/>
    <x v="141"/>
    <x v="123"/>
    <x v="27"/>
    <x v="37"/>
    <x v="0"/>
    <x v="0"/>
    <x v="0"/>
    <x v="3"/>
    <x v="0"/>
    <x v="2"/>
    <x v="0"/>
    <x v="0"/>
    <x v="2"/>
    <x v="0"/>
    <x v="1"/>
    <x v="0"/>
    <x v="1"/>
    <x v="3"/>
    <x v="4"/>
    <x v="6"/>
    <x v="0"/>
  </r>
  <r>
    <x v="91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50"/>
    <x v="17"/>
    <x v="0"/>
    <x v="20"/>
    <x v="7"/>
    <x v="2"/>
    <x v="9"/>
    <x v="3"/>
    <x v="9"/>
    <x v="4"/>
    <x v="1"/>
    <x v="12"/>
    <x v="3"/>
    <x v="8"/>
    <x v="64"/>
    <x v="55"/>
    <x v="57"/>
    <x v="54"/>
    <x v="54"/>
    <x v="164"/>
    <x v="81"/>
    <x v="104"/>
    <x v="36"/>
    <x v="26"/>
    <x v="3"/>
    <x v="5"/>
    <x v="14"/>
    <x v="2"/>
    <x v="0"/>
    <x v="0"/>
    <x v="19"/>
    <x v="15"/>
    <x v="24"/>
    <x v="24"/>
    <x v="161"/>
    <x v="87"/>
    <x v="0"/>
    <x v="0"/>
    <x v="0"/>
    <x v="3"/>
    <x v="0"/>
    <x v="2"/>
    <x v="0"/>
    <x v="0"/>
    <x v="2"/>
    <x v="0"/>
    <x v="0"/>
    <x v="1"/>
    <x v="1"/>
    <x v="3"/>
    <x v="4"/>
    <x v="6"/>
    <x v="0"/>
  </r>
  <r>
    <x v="83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51"/>
    <x v="11"/>
    <x v="0"/>
    <x v="17"/>
    <x v="7"/>
    <x v="2"/>
    <x v="9"/>
    <x v="3"/>
    <x v="10"/>
    <x v="4"/>
    <x v="2"/>
    <x v="9"/>
    <x v="3"/>
    <x v="6"/>
    <x v="38"/>
    <x v="97"/>
    <x v="83"/>
    <x v="77"/>
    <x v="123"/>
    <x v="101"/>
    <x v="86"/>
    <x v="68"/>
    <x v="36"/>
    <x v="26"/>
    <x v="3"/>
    <x v="5"/>
    <x v="14"/>
    <x v="2"/>
    <x v="0"/>
    <x v="0"/>
    <x v="94"/>
    <x v="81"/>
    <x v="75"/>
    <x v="134"/>
    <x v="67"/>
    <x v="97"/>
    <x v="0"/>
    <x v="0"/>
    <x v="0"/>
    <x v="3"/>
    <x v="0"/>
    <x v="1"/>
    <x v="0"/>
    <x v="0"/>
    <x v="2"/>
    <x v="0"/>
    <x v="0"/>
    <x v="1"/>
    <x v="1"/>
    <x v="3"/>
    <x v="4"/>
    <x v="6"/>
    <x v="0"/>
  </r>
  <r>
    <x v="84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52"/>
    <x v="9"/>
    <x v="0"/>
    <x v="18"/>
    <x v="7"/>
    <x v="2"/>
    <x v="9"/>
    <x v="3"/>
    <x v="10"/>
    <x v="4"/>
    <x v="2"/>
    <x v="9"/>
    <x v="3"/>
    <x v="6"/>
    <x v="55"/>
    <x v="80"/>
    <x v="103"/>
    <x v="135"/>
    <x v="112"/>
    <x v="117"/>
    <x v="60"/>
    <x v="48"/>
    <x v="36"/>
    <x v="26"/>
    <x v="3"/>
    <x v="5"/>
    <x v="14"/>
    <x v="2"/>
    <x v="0"/>
    <x v="0"/>
    <x v="45"/>
    <x v="76"/>
    <x v="137"/>
    <x v="107"/>
    <x v="71"/>
    <x v="5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5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53"/>
    <x v="11"/>
    <x v="0"/>
    <x v="17"/>
    <x v="7"/>
    <x v="2"/>
    <x v="9"/>
    <x v="3"/>
    <x v="10"/>
    <x v="4"/>
    <x v="2"/>
    <x v="9"/>
    <x v="3"/>
    <x v="6"/>
    <x v="45"/>
    <x v="78"/>
    <x v="93"/>
    <x v="117"/>
    <x v="120"/>
    <x v="98"/>
    <x v="83"/>
    <x v="103"/>
    <x v="36"/>
    <x v="26"/>
    <x v="3"/>
    <x v="5"/>
    <x v="14"/>
    <x v="2"/>
    <x v="0"/>
    <x v="0"/>
    <x v="63"/>
    <x v="92"/>
    <x v="133"/>
    <x v="128"/>
    <x v="57"/>
    <x v="9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6"/>
    <x v="23"/>
    <x v="8"/>
    <x v="6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54"/>
    <x v="9"/>
    <x v="0"/>
    <x v="18"/>
    <x v="7"/>
    <x v="2"/>
    <x v="9"/>
    <x v="3"/>
    <x v="10"/>
    <x v="4"/>
    <x v="2"/>
    <x v="9"/>
    <x v="3"/>
    <x v="6"/>
    <x v="43"/>
    <x v="82"/>
    <x v="84"/>
    <x v="115"/>
    <x v="140"/>
    <x v="97"/>
    <x v="84"/>
    <x v="65"/>
    <x v="36"/>
    <x v="26"/>
    <x v="3"/>
    <x v="5"/>
    <x v="14"/>
    <x v="2"/>
    <x v="0"/>
    <x v="0"/>
    <x v="62"/>
    <x v="69"/>
    <x v="123"/>
    <x v="144"/>
    <x v="50"/>
    <x v="91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87"/>
    <x v="24"/>
    <x v="13"/>
    <x v="9"/>
    <x v="2"/>
    <x v="1"/>
    <x v="1"/>
    <x v="4"/>
    <x v="9"/>
    <x v="11"/>
    <x v="1"/>
    <x v="3"/>
    <x v="7"/>
    <x v="7"/>
    <x v="9"/>
    <x v="11"/>
    <x v="1"/>
    <x v="2"/>
    <x v="2"/>
    <x v="0"/>
    <x v="9"/>
    <x v="5"/>
    <x v="55"/>
    <x v="9"/>
    <x v="0"/>
    <x v="18"/>
    <x v="7"/>
    <x v="2"/>
    <x v="9"/>
    <x v="3"/>
    <x v="10"/>
    <x v="4"/>
    <x v="2"/>
    <x v="9"/>
    <x v="3"/>
    <x v="6"/>
    <x v="46"/>
    <x v="95"/>
    <x v="107"/>
    <x v="118"/>
    <x v="143"/>
    <x v="99"/>
    <x v="75"/>
    <x v="61"/>
    <x v="36"/>
    <x v="26"/>
    <x v="3"/>
    <x v="5"/>
    <x v="14"/>
    <x v="2"/>
    <x v="0"/>
    <x v="0"/>
    <x v="76"/>
    <x v="95"/>
    <x v="116"/>
    <x v="143"/>
    <x v="46"/>
    <x v="82"/>
    <x v="0"/>
    <x v="0"/>
    <x v="0"/>
    <x v="3"/>
    <x v="0"/>
    <x v="1"/>
    <x v="0"/>
    <x v="0"/>
    <x v="2"/>
    <x v="0"/>
    <x v="1"/>
    <x v="0"/>
    <x v="1"/>
    <x v="3"/>
    <x v="4"/>
    <x v="6"/>
    <x v="0"/>
  </r>
  <r>
    <x v="92"/>
    <x v="17"/>
    <x v="5"/>
    <x v="28"/>
    <x v="2"/>
    <x v="1"/>
    <x v="1"/>
    <x v="3"/>
    <x v="7"/>
    <x v="11"/>
    <x v="1"/>
    <x v="3"/>
    <x v="4"/>
    <x v="4"/>
    <x v="3"/>
    <x v="11"/>
    <x v="6"/>
    <x v="4"/>
    <x v="4"/>
    <x v="0"/>
    <x v="10"/>
    <x v="10"/>
    <x v="56"/>
    <x v="25"/>
    <x v="0"/>
    <x v="15"/>
    <x v="7"/>
    <x v="2"/>
    <x v="9"/>
    <x v="3"/>
    <x v="10"/>
    <x v="4"/>
    <x v="2"/>
    <x v="9"/>
    <x v="3"/>
    <x v="6"/>
    <x v="15"/>
    <x v="61"/>
    <x v="49"/>
    <x v="38"/>
    <x v="32"/>
    <x v="88"/>
    <x v="66"/>
    <x v="19"/>
    <x v="36"/>
    <x v="26"/>
    <x v="3"/>
    <x v="5"/>
    <x v="14"/>
    <x v="2"/>
    <x v="0"/>
    <x v="0"/>
    <x v="88"/>
    <x v="44"/>
    <x v="23"/>
    <x v="13"/>
    <x v="141"/>
    <x v="100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93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57"/>
    <x v="14"/>
    <x v="0"/>
    <x v="20"/>
    <x v="7"/>
    <x v="2"/>
    <x v="9"/>
    <x v="3"/>
    <x v="9"/>
    <x v="4"/>
    <x v="2"/>
    <x v="9"/>
    <x v="3"/>
    <x v="6"/>
    <x v="52"/>
    <x v="58"/>
    <x v="64"/>
    <x v="68"/>
    <x v="83"/>
    <x v="134"/>
    <x v="97"/>
    <x v="47"/>
    <x v="36"/>
    <x v="26"/>
    <x v="3"/>
    <x v="5"/>
    <x v="14"/>
    <x v="2"/>
    <x v="0"/>
    <x v="0"/>
    <x v="22"/>
    <x v="29"/>
    <x v="36"/>
    <x v="74"/>
    <x v="102"/>
    <x v="120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94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58"/>
    <x v="17"/>
    <x v="0"/>
    <x v="20"/>
    <x v="7"/>
    <x v="2"/>
    <x v="9"/>
    <x v="3"/>
    <x v="9"/>
    <x v="4"/>
    <x v="2"/>
    <x v="9"/>
    <x v="3"/>
    <x v="6"/>
    <x v="59"/>
    <x v="52"/>
    <x v="51"/>
    <x v="37"/>
    <x v="42"/>
    <x v="149"/>
    <x v="98"/>
    <x v="43"/>
    <x v="36"/>
    <x v="26"/>
    <x v="3"/>
    <x v="5"/>
    <x v="14"/>
    <x v="2"/>
    <x v="0"/>
    <x v="0"/>
    <x v="15"/>
    <x v="12"/>
    <x v="5"/>
    <x v="10"/>
    <x v="126"/>
    <x v="121"/>
    <x v="0"/>
    <x v="0"/>
    <x v="2"/>
    <x v="3"/>
    <x v="0"/>
    <x v="1"/>
    <x v="0"/>
    <x v="0"/>
    <x v="2"/>
    <x v="0"/>
    <x v="0"/>
    <x v="1"/>
    <x v="1"/>
    <x v="3"/>
    <x v="4"/>
    <x v="6"/>
    <x v="0"/>
  </r>
  <r>
    <x v="123"/>
    <x v="0"/>
    <x v="0"/>
    <x v="28"/>
    <x v="2"/>
    <x v="4"/>
    <x v="2"/>
    <x v="1"/>
    <x v="2"/>
    <x v="3"/>
    <x v="2"/>
    <x v="5"/>
    <x v="3"/>
    <x v="3"/>
    <x v="2"/>
    <x v="3"/>
    <x v="5"/>
    <x v="0"/>
    <x v="0"/>
    <x v="1"/>
    <x v="2"/>
    <x v="1"/>
    <x v="59"/>
    <x v="28"/>
    <x v="0"/>
    <x v="6"/>
    <x v="7"/>
    <x v="2"/>
    <x v="9"/>
    <x v="3"/>
    <x v="10"/>
    <x v="4"/>
    <x v="2"/>
    <x v="11"/>
    <x v="3"/>
    <x v="2"/>
    <x v="3"/>
    <x v="28"/>
    <x v="0"/>
    <x v="0"/>
    <x v="0"/>
    <x v="0"/>
    <x v="0"/>
    <x v="17"/>
    <x v="0"/>
    <x v="26"/>
    <x v="3"/>
    <x v="4"/>
    <x v="0"/>
    <x v="0"/>
    <x v="0"/>
    <x v="0"/>
    <x v="163"/>
    <x v="0"/>
    <x v="0"/>
    <x v="0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4"/>
    <x v="1"/>
    <x v="1"/>
    <x v="24"/>
    <x v="2"/>
    <x v="4"/>
    <x v="2"/>
    <x v="1"/>
    <x v="2"/>
    <x v="9"/>
    <x v="2"/>
    <x v="5"/>
    <x v="3"/>
    <x v="3"/>
    <x v="2"/>
    <x v="9"/>
    <x v="5"/>
    <x v="0"/>
    <x v="0"/>
    <x v="1"/>
    <x v="8"/>
    <x v="2"/>
    <x v="60"/>
    <x v="28"/>
    <x v="0"/>
    <x v="6"/>
    <x v="7"/>
    <x v="2"/>
    <x v="9"/>
    <x v="3"/>
    <x v="10"/>
    <x v="4"/>
    <x v="2"/>
    <x v="11"/>
    <x v="3"/>
    <x v="2"/>
    <x v="3"/>
    <x v="0"/>
    <x v="0"/>
    <x v="0"/>
    <x v="4"/>
    <x v="0"/>
    <x v="0"/>
    <x v="11"/>
    <x v="13"/>
    <x v="26"/>
    <x v="3"/>
    <x v="3"/>
    <x v="2"/>
    <x v="1"/>
    <x v="0"/>
    <x v="0"/>
    <x v="0"/>
    <x v="0"/>
    <x v="0"/>
    <x v="167"/>
    <x v="0"/>
    <x v="0"/>
    <x v="0"/>
    <x v="0"/>
    <x v="1"/>
    <x v="10"/>
    <x v="0"/>
    <x v="0"/>
    <x v="0"/>
    <x v="0"/>
    <x v="1"/>
    <x v="2"/>
    <x v="1"/>
    <x v="2"/>
    <x v="0"/>
    <x v="10"/>
    <x v="1"/>
    <x v="10"/>
    <x v="0"/>
  </r>
  <r>
    <x v="125"/>
    <x v="11"/>
    <x v="17"/>
    <x v="21"/>
    <x v="2"/>
    <x v="4"/>
    <x v="2"/>
    <x v="6"/>
    <x v="5"/>
    <x v="11"/>
    <x v="2"/>
    <x v="5"/>
    <x v="9"/>
    <x v="10"/>
    <x v="6"/>
    <x v="11"/>
    <x v="5"/>
    <x v="6"/>
    <x v="6"/>
    <x v="1"/>
    <x v="10"/>
    <x v="10"/>
    <x v="61"/>
    <x v="26"/>
    <x v="0"/>
    <x v="8"/>
    <x v="7"/>
    <x v="2"/>
    <x v="9"/>
    <x v="3"/>
    <x v="10"/>
    <x v="4"/>
    <x v="2"/>
    <x v="11"/>
    <x v="3"/>
    <x v="2"/>
    <x v="3"/>
    <x v="9"/>
    <x v="31"/>
    <x v="36"/>
    <x v="33"/>
    <x v="0"/>
    <x v="0"/>
    <x v="13"/>
    <x v="0"/>
    <x v="26"/>
    <x v="3"/>
    <x v="1"/>
    <x v="0"/>
    <x v="0"/>
    <x v="0"/>
    <x v="0"/>
    <x v="53"/>
    <x v="159"/>
    <x v="136"/>
    <x v="154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6"/>
    <x v="26"/>
    <x v="31"/>
    <x v="22"/>
    <x v="2"/>
    <x v="4"/>
    <x v="2"/>
    <x v="6"/>
    <x v="13"/>
    <x v="11"/>
    <x v="2"/>
    <x v="5"/>
    <x v="9"/>
    <x v="10"/>
    <x v="13"/>
    <x v="11"/>
    <x v="5"/>
    <x v="6"/>
    <x v="6"/>
    <x v="1"/>
    <x v="10"/>
    <x v="10"/>
    <x v="62"/>
    <x v="29"/>
    <x v="0"/>
    <x v="8"/>
    <x v="7"/>
    <x v="2"/>
    <x v="9"/>
    <x v="3"/>
    <x v="10"/>
    <x v="4"/>
    <x v="2"/>
    <x v="11"/>
    <x v="3"/>
    <x v="2"/>
    <x v="3"/>
    <x v="0"/>
    <x v="2"/>
    <x v="8"/>
    <x v="30"/>
    <x v="0"/>
    <x v="0"/>
    <x v="15"/>
    <x v="3"/>
    <x v="26"/>
    <x v="3"/>
    <x v="3"/>
    <x v="3"/>
    <x v="0"/>
    <x v="0"/>
    <x v="0"/>
    <x v="0"/>
    <x v="45"/>
    <x v="109"/>
    <x v="166"/>
    <x v="0"/>
    <x v="0"/>
    <x v="0"/>
    <x v="0"/>
    <x v="1"/>
    <x v="10"/>
    <x v="0"/>
    <x v="0"/>
    <x v="0"/>
    <x v="0"/>
    <x v="1"/>
    <x v="2"/>
    <x v="1"/>
    <x v="2"/>
    <x v="0"/>
    <x v="10"/>
    <x v="1"/>
    <x v="10"/>
    <x v="0"/>
  </r>
  <r>
    <x v="127"/>
    <x v="2"/>
    <x v="33"/>
    <x v="26"/>
    <x v="2"/>
    <x v="3"/>
    <x v="4"/>
    <x v="7"/>
    <x v="15"/>
    <x v="11"/>
    <x v="2"/>
    <x v="5"/>
    <x v="11"/>
    <x v="11"/>
    <x v="15"/>
    <x v="11"/>
    <x v="3"/>
    <x v="7"/>
    <x v="7"/>
    <x v="1"/>
    <x v="10"/>
    <x v="10"/>
    <x v="63"/>
    <x v="29"/>
    <x v="0"/>
    <x v="8"/>
    <x v="7"/>
    <x v="2"/>
    <x v="9"/>
    <x v="3"/>
    <x v="10"/>
    <x v="4"/>
    <x v="2"/>
    <x v="11"/>
    <x v="3"/>
    <x v="2"/>
    <x v="3"/>
    <x v="5"/>
    <x v="5"/>
    <x v="13"/>
    <x v="30"/>
    <x v="0"/>
    <x v="0"/>
    <x v="21"/>
    <x v="1"/>
    <x v="26"/>
    <x v="3"/>
    <x v="2"/>
    <x v="0"/>
    <x v="1"/>
    <x v="0"/>
    <x v="0"/>
    <x v="79"/>
    <x v="97"/>
    <x v="110"/>
    <x v="162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30"/>
    <x v="10"/>
    <x v="32"/>
    <x v="25"/>
    <x v="2"/>
    <x v="3"/>
    <x v="4"/>
    <x v="9"/>
    <x v="14"/>
    <x v="11"/>
    <x v="2"/>
    <x v="5"/>
    <x v="11"/>
    <x v="11"/>
    <x v="14"/>
    <x v="11"/>
    <x v="5"/>
    <x v="7"/>
    <x v="7"/>
    <x v="1"/>
    <x v="10"/>
    <x v="10"/>
    <x v="64"/>
    <x v="29"/>
    <x v="0"/>
    <x v="10"/>
    <x v="7"/>
    <x v="2"/>
    <x v="9"/>
    <x v="3"/>
    <x v="10"/>
    <x v="4"/>
    <x v="2"/>
    <x v="11"/>
    <x v="3"/>
    <x v="2"/>
    <x v="3"/>
    <x v="6"/>
    <x v="3"/>
    <x v="13"/>
    <x v="26"/>
    <x v="0"/>
    <x v="0"/>
    <x v="23"/>
    <x v="1"/>
    <x v="26"/>
    <x v="3"/>
    <x v="2"/>
    <x v="0"/>
    <x v="0"/>
    <x v="0"/>
    <x v="0"/>
    <x v="103"/>
    <x v="78"/>
    <x v="130"/>
    <x v="156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8"/>
    <x v="9"/>
    <x v="15"/>
    <x v="23"/>
    <x v="2"/>
    <x v="4"/>
    <x v="2"/>
    <x v="2"/>
    <x v="4"/>
    <x v="11"/>
    <x v="2"/>
    <x v="5"/>
    <x v="6"/>
    <x v="6"/>
    <x v="5"/>
    <x v="11"/>
    <x v="3"/>
    <x v="1"/>
    <x v="1"/>
    <x v="1"/>
    <x v="10"/>
    <x v="10"/>
    <x v="65"/>
    <x v="29"/>
    <x v="0"/>
    <x v="11"/>
    <x v="7"/>
    <x v="2"/>
    <x v="9"/>
    <x v="3"/>
    <x v="10"/>
    <x v="4"/>
    <x v="2"/>
    <x v="11"/>
    <x v="3"/>
    <x v="2"/>
    <x v="3"/>
    <x v="13"/>
    <x v="19"/>
    <x v="33"/>
    <x v="34"/>
    <x v="0"/>
    <x v="0"/>
    <x v="16"/>
    <x v="0"/>
    <x v="26"/>
    <x v="3"/>
    <x v="0"/>
    <x v="0"/>
    <x v="0"/>
    <x v="0"/>
    <x v="0"/>
    <x v="68"/>
    <x v="126"/>
    <x v="128"/>
    <x v="160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29"/>
    <x v="32"/>
    <x v="16"/>
    <x v="23"/>
    <x v="2"/>
    <x v="4"/>
    <x v="2"/>
    <x v="2"/>
    <x v="4"/>
    <x v="11"/>
    <x v="2"/>
    <x v="5"/>
    <x v="6"/>
    <x v="6"/>
    <x v="5"/>
    <x v="11"/>
    <x v="3"/>
    <x v="1"/>
    <x v="1"/>
    <x v="1"/>
    <x v="10"/>
    <x v="10"/>
    <x v="66"/>
    <x v="29"/>
    <x v="0"/>
    <x v="12"/>
    <x v="7"/>
    <x v="2"/>
    <x v="9"/>
    <x v="3"/>
    <x v="10"/>
    <x v="4"/>
    <x v="2"/>
    <x v="11"/>
    <x v="3"/>
    <x v="2"/>
    <x v="3"/>
    <x v="10"/>
    <x v="11"/>
    <x v="22"/>
    <x v="31"/>
    <x v="0"/>
    <x v="0"/>
    <x v="22"/>
    <x v="0"/>
    <x v="26"/>
    <x v="3"/>
    <x v="0"/>
    <x v="0"/>
    <x v="0"/>
    <x v="0"/>
    <x v="0"/>
    <x v="92"/>
    <x v="120"/>
    <x v="114"/>
    <x v="161"/>
    <x v="0"/>
    <x v="0"/>
    <x v="0"/>
    <x v="0"/>
    <x v="1"/>
    <x v="10"/>
    <x v="0"/>
    <x v="0"/>
    <x v="0"/>
    <x v="0"/>
    <x v="1"/>
    <x v="1"/>
    <x v="1"/>
    <x v="0"/>
    <x v="0"/>
    <x v="10"/>
    <x v="1"/>
    <x v="10"/>
    <x v="0"/>
  </r>
  <r>
    <x v="131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67"/>
    <x v="17"/>
    <x v="0"/>
    <x v="20"/>
    <x v="7"/>
    <x v="2"/>
    <x v="9"/>
    <x v="3"/>
    <x v="10"/>
    <x v="4"/>
    <x v="2"/>
    <x v="11"/>
    <x v="3"/>
    <x v="2"/>
    <x v="51"/>
    <x v="18"/>
    <x v="24"/>
    <x v="25"/>
    <x v="36"/>
    <x v="159"/>
    <x v="94"/>
    <x v="34"/>
    <x v="36"/>
    <x v="26"/>
    <x v="3"/>
    <x v="5"/>
    <x v="14"/>
    <x v="2"/>
    <x v="0"/>
    <x v="0"/>
    <x v="2"/>
    <x v="1"/>
    <x v="1"/>
    <x v="1"/>
    <x v="152"/>
    <x v="117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2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68"/>
    <x v="16"/>
    <x v="0"/>
    <x v="20"/>
    <x v="7"/>
    <x v="2"/>
    <x v="9"/>
    <x v="3"/>
    <x v="10"/>
    <x v="4"/>
    <x v="2"/>
    <x v="11"/>
    <x v="3"/>
    <x v="2"/>
    <x v="61"/>
    <x v="35"/>
    <x v="43"/>
    <x v="40"/>
    <x v="45"/>
    <x v="163"/>
    <x v="96"/>
    <x v="27"/>
    <x v="36"/>
    <x v="26"/>
    <x v="3"/>
    <x v="5"/>
    <x v="14"/>
    <x v="2"/>
    <x v="0"/>
    <x v="0"/>
    <x v="7"/>
    <x v="7"/>
    <x v="7"/>
    <x v="11"/>
    <x v="148"/>
    <x v="118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3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69"/>
    <x v="19"/>
    <x v="0"/>
    <x v="20"/>
    <x v="7"/>
    <x v="2"/>
    <x v="9"/>
    <x v="3"/>
    <x v="10"/>
    <x v="4"/>
    <x v="2"/>
    <x v="11"/>
    <x v="3"/>
    <x v="2"/>
    <x v="57"/>
    <x v="18"/>
    <x v="27"/>
    <x v="30"/>
    <x v="37"/>
    <x v="165"/>
    <x v="94"/>
    <x v="31"/>
    <x v="36"/>
    <x v="26"/>
    <x v="3"/>
    <x v="5"/>
    <x v="14"/>
    <x v="2"/>
    <x v="0"/>
    <x v="0"/>
    <x v="1"/>
    <x v="2"/>
    <x v="2"/>
    <x v="2"/>
    <x v="153"/>
    <x v="115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4"/>
    <x v="14"/>
    <x v="10"/>
    <x v="18"/>
    <x v="2"/>
    <x v="1"/>
    <x v="1"/>
    <x v="5"/>
    <x v="10"/>
    <x v="11"/>
    <x v="1"/>
    <x v="3"/>
    <x v="8"/>
    <x v="8"/>
    <x v="10"/>
    <x v="11"/>
    <x v="6"/>
    <x v="3"/>
    <x v="3"/>
    <x v="1"/>
    <x v="10"/>
    <x v="10"/>
    <x v="70"/>
    <x v="17"/>
    <x v="0"/>
    <x v="20"/>
    <x v="7"/>
    <x v="2"/>
    <x v="9"/>
    <x v="3"/>
    <x v="10"/>
    <x v="4"/>
    <x v="2"/>
    <x v="11"/>
    <x v="3"/>
    <x v="2"/>
    <x v="47"/>
    <x v="20"/>
    <x v="30"/>
    <x v="30"/>
    <x v="37"/>
    <x v="159"/>
    <x v="93"/>
    <x v="33"/>
    <x v="36"/>
    <x v="26"/>
    <x v="3"/>
    <x v="5"/>
    <x v="14"/>
    <x v="2"/>
    <x v="0"/>
    <x v="0"/>
    <x v="3"/>
    <x v="3"/>
    <x v="3"/>
    <x v="4"/>
    <x v="154"/>
    <x v="114"/>
    <x v="0"/>
    <x v="0"/>
    <x v="2"/>
    <x v="11"/>
    <x v="0"/>
    <x v="0"/>
    <x v="0"/>
    <x v="0"/>
    <x v="0"/>
    <x v="0"/>
    <x v="0"/>
    <x v="1"/>
    <x v="1"/>
    <x v="11"/>
    <x v="0"/>
    <x v="3"/>
    <x v="0"/>
  </r>
  <r>
    <x v="138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1"/>
    <x v="1"/>
    <x v="0"/>
    <x v="22"/>
    <x v="7"/>
    <x v="2"/>
    <x v="9"/>
    <x v="3"/>
    <x v="10"/>
    <x v="4"/>
    <x v="2"/>
    <x v="11"/>
    <x v="1"/>
    <x v="0"/>
    <x v="82"/>
    <x v="129"/>
    <x v="145"/>
    <x v="83"/>
    <x v="88"/>
    <x v="133"/>
    <x v="27"/>
    <x v="113"/>
    <x v="36"/>
    <x v="26"/>
    <x v="3"/>
    <x v="5"/>
    <x v="14"/>
    <x v="2"/>
    <x v="0"/>
    <x v="0"/>
    <x v="115"/>
    <x v="133"/>
    <x v="53"/>
    <x v="68"/>
    <x v="86"/>
    <x v="5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39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2"/>
    <x v="4"/>
    <x v="0"/>
    <x v="22"/>
    <x v="7"/>
    <x v="2"/>
    <x v="9"/>
    <x v="3"/>
    <x v="10"/>
    <x v="4"/>
    <x v="2"/>
    <x v="11"/>
    <x v="1"/>
    <x v="0"/>
    <x v="82"/>
    <x v="120"/>
    <x v="139"/>
    <x v="93"/>
    <x v="87"/>
    <x v="137"/>
    <x v="35"/>
    <x v="113"/>
    <x v="36"/>
    <x v="26"/>
    <x v="3"/>
    <x v="5"/>
    <x v="14"/>
    <x v="2"/>
    <x v="0"/>
    <x v="0"/>
    <x v="101"/>
    <x v="124"/>
    <x v="65"/>
    <x v="66"/>
    <x v="96"/>
    <x v="13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0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3"/>
    <x v="7"/>
    <x v="0"/>
    <x v="22"/>
    <x v="7"/>
    <x v="2"/>
    <x v="9"/>
    <x v="3"/>
    <x v="10"/>
    <x v="4"/>
    <x v="2"/>
    <x v="11"/>
    <x v="1"/>
    <x v="0"/>
    <x v="82"/>
    <x v="117"/>
    <x v="133"/>
    <x v="78"/>
    <x v="94"/>
    <x v="144"/>
    <x v="44"/>
    <x v="113"/>
    <x v="36"/>
    <x v="26"/>
    <x v="3"/>
    <x v="5"/>
    <x v="14"/>
    <x v="2"/>
    <x v="0"/>
    <x v="0"/>
    <x v="99"/>
    <x v="107"/>
    <x v="47"/>
    <x v="77"/>
    <x v="107"/>
    <x v="2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1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4"/>
    <x v="11"/>
    <x v="0"/>
    <x v="22"/>
    <x v="7"/>
    <x v="2"/>
    <x v="9"/>
    <x v="3"/>
    <x v="10"/>
    <x v="4"/>
    <x v="2"/>
    <x v="11"/>
    <x v="1"/>
    <x v="0"/>
    <x v="82"/>
    <x v="103"/>
    <x v="117"/>
    <x v="87"/>
    <x v="91"/>
    <x v="156"/>
    <x v="54"/>
    <x v="113"/>
    <x v="36"/>
    <x v="26"/>
    <x v="3"/>
    <x v="5"/>
    <x v="14"/>
    <x v="2"/>
    <x v="0"/>
    <x v="0"/>
    <x v="70"/>
    <x v="80"/>
    <x v="57"/>
    <x v="71"/>
    <x v="125"/>
    <x v="42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2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5"/>
    <x v="13"/>
    <x v="0"/>
    <x v="22"/>
    <x v="7"/>
    <x v="2"/>
    <x v="9"/>
    <x v="3"/>
    <x v="10"/>
    <x v="4"/>
    <x v="2"/>
    <x v="11"/>
    <x v="1"/>
    <x v="0"/>
    <x v="82"/>
    <x v="71"/>
    <x v="89"/>
    <x v="97"/>
    <x v="81"/>
    <x v="168"/>
    <x v="53"/>
    <x v="113"/>
    <x v="36"/>
    <x v="26"/>
    <x v="3"/>
    <x v="5"/>
    <x v="14"/>
    <x v="2"/>
    <x v="0"/>
    <x v="0"/>
    <x v="34"/>
    <x v="49"/>
    <x v="70"/>
    <x v="54"/>
    <x v="146"/>
    <x v="4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3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76"/>
    <x v="14"/>
    <x v="0"/>
    <x v="22"/>
    <x v="7"/>
    <x v="2"/>
    <x v="9"/>
    <x v="3"/>
    <x v="10"/>
    <x v="4"/>
    <x v="2"/>
    <x v="11"/>
    <x v="1"/>
    <x v="0"/>
    <x v="80"/>
    <x v="70"/>
    <x v="79"/>
    <x v="95"/>
    <x v="80"/>
    <x v="169"/>
    <x v="65"/>
    <x v="113"/>
    <x v="36"/>
    <x v="26"/>
    <x v="3"/>
    <x v="5"/>
    <x v="14"/>
    <x v="2"/>
    <x v="0"/>
    <x v="0"/>
    <x v="33"/>
    <x v="42"/>
    <x v="68"/>
    <x v="52"/>
    <x v="150"/>
    <x v="55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4"/>
    <x v="15"/>
    <x v="22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77"/>
    <x v="0"/>
    <x v="0"/>
    <x v="22"/>
    <x v="7"/>
    <x v="2"/>
    <x v="9"/>
    <x v="3"/>
    <x v="10"/>
    <x v="4"/>
    <x v="0"/>
    <x v="11"/>
    <x v="1"/>
    <x v="0"/>
    <x v="82"/>
    <x v="155"/>
    <x v="75"/>
    <x v="61"/>
    <x v="57"/>
    <x v="116"/>
    <x v="39"/>
    <x v="113"/>
    <x v="36"/>
    <x v="26"/>
    <x v="3"/>
    <x v="5"/>
    <x v="14"/>
    <x v="2"/>
    <x v="0"/>
    <x v="0"/>
    <x v="161"/>
    <x v="35"/>
    <x v="22"/>
    <x v="21"/>
    <x v="64"/>
    <x v="2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5"/>
    <x v="15"/>
    <x v="22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78"/>
    <x v="1"/>
    <x v="0"/>
    <x v="22"/>
    <x v="7"/>
    <x v="2"/>
    <x v="9"/>
    <x v="3"/>
    <x v="10"/>
    <x v="4"/>
    <x v="2"/>
    <x v="11"/>
    <x v="1"/>
    <x v="0"/>
    <x v="82"/>
    <x v="154"/>
    <x v="68"/>
    <x v="56"/>
    <x v="57"/>
    <x v="120"/>
    <x v="38"/>
    <x v="113"/>
    <x v="36"/>
    <x v="26"/>
    <x v="3"/>
    <x v="5"/>
    <x v="14"/>
    <x v="2"/>
    <x v="0"/>
    <x v="0"/>
    <x v="160"/>
    <x v="26"/>
    <x v="17"/>
    <x v="21"/>
    <x v="66"/>
    <x v="20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6"/>
    <x v="15"/>
    <x v="22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79"/>
    <x v="4"/>
    <x v="0"/>
    <x v="22"/>
    <x v="7"/>
    <x v="2"/>
    <x v="9"/>
    <x v="3"/>
    <x v="10"/>
    <x v="4"/>
    <x v="2"/>
    <x v="11"/>
    <x v="1"/>
    <x v="0"/>
    <x v="82"/>
    <x v="151"/>
    <x v="70"/>
    <x v="62"/>
    <x v="61"/>
    <x v="132"/>
    <x v="36"/>
    <x v="113"/>
    <x v="36"/>
    <x v="26"/>
    <x v="3"/>
    <x v="5"/>
    <x v="14"/>
    <x v="2"/>
    <x v="0"/>
    <x v="0"/>
    <x v="151"/>
    <x v="32"/>
    <x v="25"/>
    <x v="27"/>
    <x v="79"/>
    <x v="1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7"/>
    <x v="15"/>
    <x v="22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0"/>
    <x v="7"/>
    <x v="0"/>
    <x v="22"/>
    <x v="7"/>
    <x v="2"/>
    <x v="9"/>
    <x v="3"/>
    <x v="10"/>
    <x v="4"/>
    <x v="2"/>
    <x v="11"/>
    <x v="1"/>
    <x v="0"/>
    <x v="82"/>
    <x v="141"/>
    <x v="77"/>
    <x v="64"/>
    <x v="68"/>
    <x v="141"/>
    <x v="43"/>
    <x v="113"/>
    <x v="36"/>
    <x v="26"/>
    <x v="3"/>
    <x v="5"/>
    <x v="14"/>
    <x v="2"/>
    <x v="0"/>
    <x v="0"/>
    <x v="138"/>
    <x v="39"/>
    <x v="30"/>
    <x v="34"/>
    <x v="100"/>
    <x v="2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8"/>
    <x v="15"/>
    <x v="22"/>
    <x v="1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1"/>
    <x v="11"/>
    <x v="0"/>
    <x v="22"/>
    <x v="7"/>
    <x v="2"/>
    <x v="9"/>
    <x v="3"/>
    <x v="10"/>
    <x v="4"/>
    <x v="2"/>
    <x v="11"/>
    <x v="1"/>
    <x v="0"/>
    <x v="82"/>
    <x v="128"/>
    <x v="73"/>
    <x v="59"/>
    <x v="53"/>
    <x v="158"/>
    <x v="51"/>
    <x v="113"/>
    <x v="36"/>
    <x v="26"/>
    <x v="3"/>
    <x v="5"/>
    <x v="14"/>
    <x v="2"/>
    <x v="0"/>
    <x v="0"/>
    <x v="113"/>
    <x v="34"/>
    <x v="20"/>
    <x v="18"/>
    <x v="130"/>
    <x v="3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49"/>
    <x v="16"/>
    <x v="25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2"/>
    <x v="0"/>
    <x v="0"/>
    <x v="22"/>
    <x v="7"/>
    <x v="2"/>
    <x v="9"/>
    <x v="3"/>
    <x v="10"/>
    <x v="4"/>
    <x v="2"/>
    <x v="11"/>
    <x v="1"/>
    <x v="0"/>
    <x v="82"/>
    <x v="153"/>
    <x v="65"/>
    <x v="47"/>
    <x v="49"/>
    <x v="126"/>
    <x v="26"/>
    <x v="113"/>
    <x v="36"/>
    <x v="26"/>
    <x v="3"/>
    <x v="5"/>
    <x v="14"/>
    <x v="2"/>
    <x v="0"/>
    <x v="0"/>
    <x v="159"/>
    <x v="23"/>
    <x v="9"/>
    <x v="14"/>
    <x v="69"/>
    <x v="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0"/>
    <x v="16"/>
    <x v="25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3"/>
    <x v="1"/>
    <x v="0"/>
    <x v="22"/>
    <x v="7"/>
    <x v="2"/>
    <x v="9"/>
    <x v="3"/>
    <x v="10"/>
    <x v="4"/>
    <x v="2"/>
    <x v="11"/>
    <x v="1"/>
    <x v="0"/>
    <x v="82"/>
    <x v="152"/>
    <x v="62"/>
    <x v="50"/>
    <x v="55"/>
    <x v="130"/>
    <x v="32"/>
    <x v="113"/>
    <x v="36"/>
    <x v="26"/>
    <x v="3"/>
    <x v="5"/>
    <x v="14"/>
    <x v="2"/>
    <x v="0"/>
    <x v="0"/>
    <x v="156"/>
    <x v="18"/>
    <x v="11"/>
    <x v="19"/>
    <x v="76"/>
    <x v="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1"/>
    <x v="16"/>
    <x v="25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4"/>
    <x v="4"/>
    <x v="0"/>
    <x v="22"/>
    <x v="7"/>
    <x v="2"/>
    <x v="9"/>
    <x v="3"/>
    <x v="10"/>
    <x v="4"/>
    <x v="2"/>
    <x v="11"/>
    <x v="1"/>
    <x v="0"/>
    <x v="80"/>
    <x v="150"/>
    <x v="63"/>
    <x v="53"/>
    <x v="56"/>
    <x v="135"/>
    <x v="34"/>
    <x v="113"/>
    <x v="36"/>
    <x v="26"/>
    <x v="3"/>
    <x v="5"/>
    <x v="14"/>
    <x v="2"/>
    <x v="0"/>
    <x v="0"/>
    <x v="149"/>
    <x v="20"/>
    <x v="14"/>
    <x v="20"/>
    <x v="91"/>
    <x v="1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2"/>
    <x v="16"/>
    <x v="25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5"/>
    <x v="5"/>
    <x v="0"/>
    <x v="22"/>
    <x v="7"/>
    <x v="2"/>
    <x v="9"/>
    <x v="3"/>
    <x v="10"/>
    <x v="4"/>
    <x v="2"/>
    <x v="11"/>
    <x v="1"/>
    <x v="0"/>
    <x v="82"/>
    <x v="146"/>
    <x v="69"/>
    <x v="49"/>
    <x v="51"/>
    <x v="139"/>
    <x v="30"/>
    <x v="113"/>
    <x v="36"/>
    <x v="26"/>
    <x v="3"/>
    <x v="5"/>
    <x v="14"/>
    <x v="2"/>
    <x v="0"/>
    <x v="0"/>
    <x v="144"/>
    <x v="27"/>
    <x v="10"/>
    <x v="16"/>
    <x v="97"/>
    <x v="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3"/>
    <x v="16"/>
    <x v="25"/>
    <x v="0"/>
    <x v="2"/>
    <x v="1"/>
    <x v="1"/>
    <x v="4"/>
    <x v="9"/>
    <x v="11"/>
    <x v="1"/>
    <x v="3"/>
    <x v="7"/>
    <x v="7"/>
    <x v="9"/>
    <x v="11"/>
    <x v="1"/>
    <x v="2"/>
    <x v="2"/>
    <x v="1"/>
    <x v="10"/>
    <x v="10"/>
    <x v="86"/>
    <x v="7"/>
    <x v="0"/>
    <x v="22"/>
    <x v="7"/>
    <x v="2"/>
    <x v="9"/>
    <x v="3"/>
    <x v="10"/>
    <x v="4"/>
    <x v="2"/>
    <x v="11"/>
    <x v="1"/>
    <x v="0"/>
    <x v="82"/>
    <x v="143"/>
    <x v="71"/>
    <x v="50"/>
    <x v="44"/>
    <x v="146"/>
    <x v="42"/>
    <x v="113"/>
    <x v="36"/>
    <x v="26"/>
    <x v="3"/>
    <x v="5"/>
    <x v="14"/>
    <x v="2"/>
    <x v="0"/>
    <x v="0"/>
    <x v="139"/>
    <x v="33"/>
    <x v="11"/>
    <x v="9"/>
    <x v="109"/>
    <x v="22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4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87"/>
    <x v="7"/>
    <x v="0"/>
    <x v="22"/>
    <x v="7"/>
    <x v="2"/>
    <x v="9"/>
    <x v="3"/>
    <x v="10"/>
    <x v="4"/>
    <x v="2"/>
    <x v="11"/>
    <x v="1"/>
    <x v="0"/>
    <x v="82"/>
    <x v="126"/>
    <x v="134"/>
    <x v="72"/>
    <x v="59"/>
    <x v="145"/>
    <x v="39"/>
    <x v="113"/>
    <x v="36"/>
    <x v="26"/>
    <x v="3"/>
    <x v="5"/>
    <x v="14"/>
    <x v="2"/>
    <x v="0"/>
    <x v="0"/>
    <x v="108"/>
    <x v="112"/>
    <x v="41"/>
    <x v="22"/>
    <x v="108"/>
    <x v="2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5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88"/>
    <x v="11"/>
    <x v="0"/>
    <x v="22"/>
    <x v="0"/>
    <x v="2"/>
    <x v="9"/>
    <x v="3"/>
    <x v="10"/>
    <x v="2"/>
    <x v="2"/>
    <x v="11"/>
    <x v="3"/>
    <x v="0"/>
    <x v="68"/>
    <x v="64"/>
    <x v="61"/>
    <x v="113"/>
    <x v="95"/>
    <x v="166"/>
    <x v="78"/>
    <x v="113"/>
    <x v="36"/>
    <x v="26"/>
    <x v="3"/>
    <x v="5"/>
    <x v="14"/>
    <x v="2"/>
    <x v="0"/>
    <x v="0"/>
    <x v="27"/>
    <x v="17"/>
    <x v="96"/>
    <x v="78"/>
    <x v="139"/>
    <x v="74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6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89"/>
    <x v="11"/>
    <x v="0"/>
    <x v="22"/>
    <x v="3"/>
    <x v="2"/>
    <x v="9"/>
    <x v="3"/>
    <x v="10"/>
    <x v="2"/>
    <x v="2"/>
    <x v="11"/>
    <x v="3"/>
    <x v="0"/>
    <x v="80"/>
    <x v="62"/>
    <x v="67"/>
    <x v="112"/>
    <x v="85"/>
    <x v="167"/>
    <x v="73"/>
    <x v="113"/>
    <x v="36"/>
    <x v="26"/>
    <x v="3"/>
    <x v="5"/>
    <x v="14"/>
    <x v="2"/>
    <x v="0"/>
    <x v="0"/>
    <x v="25"/>
    <x v="25"/>
    <x v="95"/>
    <x v="63"/>
    <x v="145"/>
    <x v="71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7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90"/>
    <x v="11"/>
    <x v="0"/>
    <x v="22"/>
    <x v="4"/>
    <x v="2"/>
    <x v="9"/>
    <x v="3"/>
    <x v="10"/>
    <x v="2"/>
    <x v="2"/>
    <x v="11"/>
    <x v="3"/>
    <x v="0"/>
    <x v="77"/>
    <x v="79"/>
    <x v="94"/>
    <x v="107"/>
    <x v="90"/>
    <x v="160"/>
    <x v="67"/>
    <x v="113"/>
    <x v="36"/>
    <x v="26"/>
    <x v="3"/>
    <x v="5"/>
    <x v="14"/>
    <x v="2"/>
    <x v="0"/>
    <x v="0"/>
    <x v="39"/>
    <x v="55"/>
    <x v="83"/>
    <x v="70"/>
    <x v="131"/>
    <x v="5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8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91"/>
    <x v="11"/>
    <x v="0"/>
    <x v="22"/>
    <x v="5"/>
    <x v="2"/>
    <x v="9"/>
    <x v="3"/>
    <x v="10"/>
    <x v="2"/>
    <x v="2"/>
    <x v="11"/>
    <x v="3"/>
    <x v="0"/>
    <x v="74"/>
    <x v="85"/>
    <x v="97"/>
    <x v="104"/>
    <x v="84"/>
    <x v="161"/>
    <x v="58"/>
    <x v="113"/>
    <x v="36"/>
    <x v="26"/>
    <x v="3"/>
    <x v="5"/>
    <x v="14"/>
    <x v="2"/>
    <x v="0"/>
    <x v="0"/>
    <x v="43"/>
    <x v="57"/>
    <x v="79"/>
    <x v="62"/>
    <x v="133"/>
    <x v="48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59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92"/>
    <x v="11"/>
    <x v="0"/>
    <x v="22"/>
    <x v="6"/>
    <x v="2"/>
    <x v="9"/>
    <x v="3"/>
    <x v="10"/>
    <x v="2"/>
    <x v="2"/>
    <x v="11"/>
    <x v="3"/>
    <x v="0"/>
    <x v="69"/>
    <x v="93"/>
    <x v="105"/>
    <x v="100"/>
    <x v="87"/>
    <x v="157"/>
    <x v="56"/>
    <x v="113"/>
    <x v="36"/>
    <x v="26"/>
    <x v="3"/>
    <x v="5"/>
    <x v="14"/>
    <x v="2"/>
    <x v="0"/>
    <x v="0"/>
    <x v="54"/>
    <x v="67"/>
    <x v="74"/>
    <x v="67"/>
    <x v="129"/>
    <x v="46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0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3"/>
    <x v="8"/>
    <x v="0"/>
    <x v="22"/>
    <x v="0"/>
    <x v="2"/>
    <x v="9"/>
    <x v="3"/>
    <x v="10"/>
    <x v="2"/>
    <x v="2"/>
    <x v="11"/>
    <x v="3"/>
    <x v="0"/>
    <x v="78"/>
    <x v="90"/>
    <x v="90"/>
    <x v="132"/>
    <x v="75"/>
    <x v="142"/>
    <x v="44"/>
    <x v="113"/>
    <x v="36"/>
    <x v="26"/>
    <x v="3"/>
    <x v="5"/>
    <x v="14"/>
    <x v="2"/>
    <x v="0"/>
    <x v="0"/>
    <x v="52"/>
    <x v="50"/>
    <x v="126"/>
    <x v="45"/>
    <x v="104"/>
    <x v="2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1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4"/>
    <x v="8"/>
    <x v="0"/>
    <x v="22"/>
    <x v="1"/>
    <x v="2"/>
    <x v="9"/>
    <x v="3"/>
    <x v="10"/>
    <x v="2"/>
    <x v="2"/>
    <x v="11"/>
    <x v="3"/>
    <x v="0"/>
    <x v="76"/>
    <x v="88"/>
    <x v="99"/>
    <x v="130"/>
    <x v="79"/>
    <x v="143"/>
    <x v="43"/>
    <x v="113"/>
    <x v="36"/>
    <x v="26"/>
    <x v="3"/>
    <x v="5"/>
    <x v="14"/>
    <x v="2"/>
    <x v="0"/>
    <x v="0"/>
    <x v="47"/>
    <x v="59"/>
    <x v="120"/>
    <x v="51"/>
    <x v="106"/>
    <x v="25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2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5"/>
    <x v="8"/>
    <x v="0"/>
    <x v="22"/>
    <x v="2"/>
    <x v="2"/>
    <x v="9"/>
    <x v="3"/>
    <x v="10"/>
    <x v="2"/>
    <x v="2"/>
    <x v="11"/>
    <x v="3"/>
    <x v="0"/>
    <x v="77"/>
    <x v="89"/>
    <x v="104"/>
    <x v="116"/>
    <x v="74"/>
    <x v="155"/>
    <x v="59"/>
    <x v="113"/>
    <x v="36"/>
    <x v="26"/>
    <x v="3"/>
    <x v="5"/>
    <x v="14"/>
    <x v="2"/>
    <x v="0"/>
    <x v="0"/>
    <x v="49"/>
    <x v="66"/>
    <x v="104"/>
    <x v="42"/>
    <x v="122"/>
    <x v="50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3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6"/>
    <x v="8"/>
    <x v="0"/>
    <x v="22"/>
    <x v="3"/>
    <x v="2"/>
    <x v="9"/>
    <x v="3"/>
    <x v="10"/>
    <x v="2"/>
    <x v="2"/>
    <x v="11"/>
    <x v="3"/>
    <x v="0"/>
    <x v="77"/>
    <x v="98"/>
    <x v="114"/>
    <x v="110"/>
    <x v="70"/>
    <x v="154"/>
    <x v="52"/>
    <x v="113"/>
    <x v="36"/>
    <x v="26"/>
    <x v="3"/>
    <x v="5"/>
    <x v="14"/>
    <x v="2"/>
    <x v="0"/>
    <x v="0"/>
    <x v="59"/>
    <x v="73"/>
    <x v="93"/>
    <x v="35"/>
    <x v="121"/>
    <x v="39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4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7"/>
    <x v="8"/>
    <x v="0"/>
    <x v="22"/>
    <x v="4"/>
    <x v="2"/>
    <x v="9"/>
    <x v="3"/>
    <x v="10"/>
    <x v="2"/>
    <x v="2"/>
    <x v="11"/>
    <x v="3"/>
    <x v="0"/>
    <x v="75"/>
    <x v="108"/>
    <x v="120"/>
    <x v="101"/>
    <x v="64"/>
    <x v="153"/>
    <x v="48"/>
    <x v="113"/>
    <x v="36"/>
    <x v="26"/>
    <x v="3"/>
    <x v="5"/>
    <x v="14"/>
    <x v="2"/>
    <x v="0"/>
    <x v="0"/>
    <x v="80"/>
    <x v="89"/>
    <x v="76"/>
    <x v="29"/>
    <x v="118"/>
    <x v="32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5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8"/>
    <x v="8"/>
    <x v="0"/>
    <x v="22"/>
    <x v="5"/>
    <x v="2"/>
    <x v="9"/>
    <x v="3"/>
    <x v="10"/>
    <x v="2"/>
    <x v="2"/>
    <x v="11"/>
    <x v="3"/>
    <x v="0"/>
    <x v="73"/>
    <x v="112"/>
    <x v="130"/>
    <x v="92"/>
    <x v="63"/>
    <x v="151"/>
    <x v="45"/>
    <x v="113"/>
    <x v="36"/>
    <x v="26"/>
    <x v="3"/>
    <x v="5"/>
    <x v="14"/>
    <x v="2"/>
    <x v="0"/>
    <x v="0"/>
    <x v="87"/>
    <x v="100"/>
    <x v="64"/>
    <x v="28"/>
    <x v="115"/>
    <x v="29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66"/>
    <x v="27"/>
    <x v="28"/>
    <x v="3"/>
    <x v="2"/>
    <x v="1"/>
    <x v="1"/>
    <x v="4"/>
    <x v="9"/>
    <x v="7"/>
    <x v="1"/>
    <x v="3"/>
    <x v="7"/>
    <x v="7"/>
    <x v="9"/>
    <x v="7"/>
    <x v="1"/>
    <x v="2"/>
    <x v="2"/>
    <x v="1"/>
    <x v="0"/>
    <x v="8"/>
    <x v="99"/>
    <x v="8"/>
    <x v="0"/>
    <x v="22"/>
    <x v="6"/>
    <x v="2"/>
    <x v="9"/>
    <x v="3"/>
    <x v="10"/>
    <x v="2"/>
    <x v="2"/>
    <x v="11"/>
    <x v="3"/>
    <x v="0"/>
    <x v="74"/>
    <x v="113"/>
    <x v="132"/>
    <x v="81"/>
    <x v="60"/>
    <x v="150"/>
    <x v="37"/>
    <x v="113"/>
    <x v="36"/>
    <x v="26"/>
    <x v="3"/>
    <x v="5"/>
    <x v="14"/>
    <x v="2"/>
    <x v="0"/>
    <x v="0"/>
    <x v="97"/>
    <x v="106"/>
    <x v="49"/>
    <x v="25"/>
    <x v="114"/>
    <x v="17"/>
    <x v="0"/>
    <x v="0"/>
    <x v="0"/>
    <x v="13"/>
    <x v="0"/>
    <x v="0"/>
    <x v="0"/>
    <x v="0"/>
    <x v="0"/>
    <x v="0"/>
    <x v="0"/>
    <x v="1"/>
    <x v="1"/>
    <x v="13"/>
    <x v="11"/>
    <x v="4"/>
    <x v="0"/>
  </r>
  <r>
    <x v="119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0"/>
    <x v="9"/>
    <x v="0"/>
    <x v="19"/>
    <x v="7"/>
    <x v="2"/>
    <x v="9"/>
    <x v="0"/>
    <x v="8"/>
    <x v="0"/>
    <x v="2"/>
    <x v="10"/>
    <x v="0"/>
    <x v="5"/>
    <x v="4"/>
    <x v="15"/>
    <x v="15"/>
    <x v="35"/>
    <x v="25"/>
    <x v="20"/>
    <x v="16"/>
    <x v="113"/>
    <x v="36"/>
    <x v="26"/>
    <x v="3"/>
    <x v="5"/>
    <x v="14"/>
    <x v="2"/>
    <x v="0"/>
    <x v="0"/>
    <x v="48"/>
    <x v="61"/>
    <x v="109"/>
    <x v="93"/>
    <x v="105"/>
    <x v="65"/>
    <x v="0"/>
    <x v="0"/>
    <x v="0"/>
    <x v="6"/>
    <x v="3"/>
    <x v="11"/>
    <x v="0"/>
    <x v="0"/>
    <x v="0"/>
    <x v="0"/>
    <x v="0"/>
    <x v="3"/>
    <x v="2"/>
    <x v="6"/>
    <x v="9"/>
    <x v="5"/>
    <x v="0"/>
  </r>
  <r>
    <x v="118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1"/>
    <x v="9"/>
    <x v="0"/>
    <x v="19"/>
    <x v="7"/>
    <x v="2"/>
    <x v="9"/>
    <x v="1"/>
    <x v="4"/>
    <x v="0"/>
    <x v="2"/>
    <x v="10"/>
    <x v="0"/>
    <x v="5"/>
    <x v="3"/>
    <x v="23"/>
    <x v="21"/>
    <x v="31"/>
    <x v="27"/>
    <x v="14"/>
    <x v="16"/>
    <x v="113"/>
    <x v="36"/>
    <x v="26"/>
    <x v="3"/>
    <x v="5"/>
    <x v="14"/>
    <x v="2"/>
    <x v="0"/>
    <x v="0"/>
    <x v="78"/>
    <x v="101"/>
    <x v="102"/>
    <x v="97"/>
    <x v="95"/>
    <x v="66"/>
    <x v="0"/>
    <x v="0"/>
    <x v="0"/>
    <x v="6"/>
    <x v="3"/>
    <x v="11"/>
    <x v="0"/>
    <x v="0"/>
    <x v="0"/>
    <x v="0"/>
    <x v="0"/>
    <x v="3"/>
    <x v="2"/>
    <x v="6"/>
    <x v="9"/>
    <x v="5"/>
    <x v="0"/>
  </r>
  <r>
    <x v="117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2"/>
    <x v="9"/>
    <x v="0"/>
    <x v="19"/>
    <x v="7"/>
    <x v="2"/>
    <x v="9"/>
    <x v="2"/>
    <x v="1"/>
    <x v="0"/>
    <x v="2"/>
    <x v="10"/>
    <x v="0"/>
    <x v="5"/>
    <x v="4"/>
    <x v="26"/>
    <x v="22"/>
    <x v="28"/>
    <x v="28"/>
    <x v="13"/>
    <x v="17"/>
    <x v="113"/>
    <x v="36"/>
    <x v="26"/>
    <x v="3"/>
    <x v="5"/>
    <x v="14"/>
    <x v="2"/>
    <x v="0"/>
    <x v="0"/>
    <x v="90"/>
    <x v="104"/>
    <x v="94"/>
    <x v="98"/>
    <x v="93"/>
    <x v="68"/>
    <x v="0"/>
    <x v="0"/>
    <x v="0"/>
    <x v="6"/>
    <x v="3"/>
    <x v="11"/>
    <x v="0"/>
    <x v="0"/>
    <x v="0"/>
    <x v="0"/>
    <x v="0"/>
    <x v="3"/>
    <x v="2"/>
    <x v="6"/>
    <x v="9"/>
    <x v="5"/>
    <x v="0"/>
  </r>
  <r>
    <x v="136"/>
    <x v="29"/>
    <x v="4"/>
    <x v="13"/>
    <x v="2"/>
    <x v="1"/>
    <x v="1"/>
    <x v="4"/>
    <x v="6"/>
    <x v="11"/>
    <x v="1"/>
    <x v="3"/>
    <x v="7"/>
    <x v="7"/>
    <x v="7"/>
    <x v="11"/>
    <x v="1"/>
    <x v="2"/>
    <x v="2"/>
    <x v="1"/>
    <x v="7"/>
    <x v="4"/>
    <x v="103"/>
    <x v="5"/>
    <x v="0"/>
    <x v="16"/>
    <x v="7"/>
    <x v="1"/>
    <x v="9"/>
    <x v="3"/>
    <x v="10"/>
    <x v="4"/>
    <x v="2"/>
    <x v="10"/>
    <x v="2"/>
    <x v="2"/>
    <x v="2"/>
    <x v="38"/>
    <x v="33"/>
    <x v="11"/>
    <x v="4"/>
    <x v="8"/>
    <x v="8"/>
    <x v="4"/>
    <x v="36"/>
    <x v="26"/>
    <x v="3"/>
    <x v="5"/>
    <x v="1"/>
    <x v="2"/>
    <x v="0"/>
    <x v="0"/>
    <x v="135"/>
    <x v="148"/>
    <x v="40"/>
    <x v="12"/>
    <x v="68"/>
    <x v="33"/>
    <x v="0"/>
    <x v="0"/>
    <x v="0"/>
    <x v="12"/>
    <x v="0"/>
    <x v="0"/>
    <x v="0"/>
    <x v="0"/>
    <x v="0"/>
    <x v="0"/>
    <x v="0"/>
    <x v="3"/>
    <x v="2"/>
    <x v="12"/>
    <x v="0"/>
    <x v="11"/>
    <x v="0"/>
  </r>
  <r>
    <x v="137"/>
    <x v="30"/>
    <x v="27"/>
    <x v="11"/>
    <x v="2"/>
    <x v="1"/>
    <x v="1"/>
    <x v="4"/>
    <x v="9"/>
    <x v="11"/>
    <x v="1"/>
    <x v="3"/>
    <x v="7"/>
    <x v="7"/>
    <x v="9"/>
    <x v="11"/>
    <x v="1"/>
    <x v="2"/>
    <x v="2"/>
    <x v="1"/>
    <x v="3"/>
    <x v="6"/>
    <x v="104"/>
    <x v="7"/>
    <x v="0"/>
    <x v="21"/>
    <x v="7"/>
    <x v="0"/>
    <x v="9"/>
    <x v="3"/>
    <x v="10"/>
    <x v="4"/>
    <x v="2"/>
    <x v="10"/>
    <x v="2"/>
    <x v="2"/>
    <x v="0"/>
    <x v="32"/>
    <x v="16"/>
    <x v="22"/>
    <x v="26"/>
    <x v="3"/>
    <x v="15"/>
    <x v="10"/>
    <x v="36"/>
    <x v="26"/>
    <x v="3"/>
    <x v="5"/>
    <x v="14"/>
    <x v="2"/>
    <x v="0"/>
    <x v="0"/>
    <x v="123"/>
    <x v="86"/>
    <x v="81"/>
    <x v="112"/>
    <x v="58"/>
    <x v="73"/>
    <x v="0"/>
    <x v="0"/>
    <x v="0"/>
    <x v="12"/>
    <x v="0"/>
    <x v="0"/>
    <x v="0"/>
    <x v="0"/>
    <x v="0"/>
    <x v="0"/>
    <x v="1"/>
    <x v="3"/>
    <x v="2"/>
    <x v="12"/>
    <x v="0"/>
    <x v="11"/>
    <x v="0"/>
  </r>
  <r>
    <x v="135"/>
    <x v="5"/>
    <x v="23"/>
    <x v="7"/>
    <x v="2"/>
    <x v="1"/>
    <x v="1"/>
    <x v="4"/>
    <x v="9"/>
    <x v="11"/>
    <x v="1"/>
    <x v="3"/>
    <x v="7"/>
    <x v="7"/>
    <x v="9"/>
    <x v="11"/>
    <x v="1"/>
    <x v="2"/>
    <x v="2"/>
    <x v="1"/>
    <x v="4"/>
    <x v="7"/>
    <x v="105"/>
    <x v="7"/>
    <x v="0"/>
    <x v="21"/>
    <x v="7"/>
    <x v="0"/>
    <x v="9"/>
    <x v="3"/>
    <x v="10"/>
    <x v="4"/>
    <x v="2"/>
    <x v="10"/>
    <x v="2"/>
    <x v="2"/>
    <x v="1"/>
    <x v="34"/>
    <x v="19"/>
    <x v="20"/>
    <x v="16"/>
    <x v="9"/>
    <x v="11"/>
    <x v="4"/>
    <x v="36"/>
    <x v="26"/>
    <x v="3"/>
    <x v="5"/>
    <x v="14"/>
    <x v="2"/>
    <x v="0"/>
    <x v="0"/>
    <x v="127"/>
    <x v="98"/>
    <x v="60"/>
    <x v="73"/>
    <x v="72"/>
    <x v="51"/>
    <x v="0"/>
    <x v="0"/>
    <x v="0"/>
    <x v="12"/>
    <x v="0"/>
    <x v="0"/>
    <x v="0"/>
    <x v="0"/>
    <x v="0"/>
    <x v="0"/>
    <x v="0"/>
    <x v="3"/>
    <x v="2"/>
    <x v="12"/>
    <x v="0"/>
    <x v="11"/>
    <x v="0"/>
  </r>
  <r>
    <x v="168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06"/>
    <x v="7"/>
    <x v="0"/>
    <x v="14"/>
    <x v="7"/>
    <x v="2"/>
    <x v="9"/>
    <x v="3"/>
    <x v="10"/>
    <x v="4"/>
    <x v="2"/>
    <x v="10"/>
    <x v="3"/>
    <x v="2"/>
    <x v="56"/>
    <x v="105"/>
    <x v="144"/>
    <x v="106"/>
    <x v="99"/>
    <x v="123"/>
    <x v="71"/>
    <x v="57"/>
    <x v="36"/>
    <x v="26"/>
    <x v="3"/>
    <x v="5"/>
    <x v="14"/>
    <x v="2"/>
    <x v="0"/>
    <x v="0"/>
    <x v="83"/>
    <x v="146"/>
    <x v="97"/>
    <x v="88"/>
    <x v="80"/>
    <x v="75"/>
    <x v="0"/>
    <x v="0"/>
    <x v="0"/>
    <x v="16"/>
    <x v="0"/>
    <x v="0"/>
    <x v="0"/>
    <x v="0"/>
    <x v="0"/>
    <x v="0"/>
    <x v="0"/>
    <x v="3"/>
    <x v="2"/>
    <x v="16"/>
    <x v="5"/>
    <x v="9"/>
    <x v="0"/>
  </r>
  <r>
    <x v="169"/>
    <x v="18"/>
    <x v="3"/>
    <x v="28"/>
    <x v="2"/>
    <x v="1"/>
    <x v="1"/>
    <x v="4"/>
    <x v="10"/>
    <x v="11"/>
    <x v="1"/>
    <x v="3"/>
    <x v="7"/>
    <x v="7"/>
    <x v="10"/>
    <x v="11"/>
    <x v="2"/>
    <x v="3"/>
    <x v="3"/>
    <x v="1"/>
    <x v="10"/>
    <x v="10"/>
    <x v="107"/>
    <x v="15"/>
    <x v="0"/>
    <x v="18"/>
    <x v="7"/>
    <x v="2"/>
    <x v="9"/>
    <x v="3"/>
    <x v="10"/>
    <x v="4"/>
    <x v="2"/>
    <x v="10"/>
    <x v="3"/>
    <x v="2"/>
    <x v="54"/>
    <x v="60"/>
    <x v="74"/>
    <x v="67"/>
    <x v="96"/>
    <x v="114"/>
    <x v="92"/>
    <x v="110"/>
    <x v="36"/>
    <x v="26"/>
    <x v="3"/>
    <x v="5"/>
    <x v="14"/>
    <x v="2"/>
    <x v="0"/>
    <x v="0"/>
    <x v="30"/>
    <x v="56"/>
    <x v="42"/>
    <x v="99"/>
    <x v="99"/>
    <x v="116"/>
    <x v="0"/>
    <x v="0"/>
    <x v="0"/>
    <x v="16"/>
    <x v="0"/>
    <x v="0"/>
    <x v="0"/>
    <x v="0"/>
    <x v="0"/>
    <x v="0"/>
    <x v="0"/>
    <x v="3"/>
    <x v="2"/>
    <x v="16"/>
    <x v="5"/>
    <x v="9"/>
    <x v="0"/>
  </r>
  <r>
    <x v="170"/>
    <x v="13"/>
    <x v="29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08"/>
    <x v="15"/>
    <x v="0"/>
    <x v="16"/>
    <x v="7"/>
    <x v="2"/>
    <x v="9"/>
    <x v="3"/>
    <x v="10"/>
    <x v="4"/>
    <x v="2"/>
    <x v="10"/>
    <x v="3"/>
    <x v="2"/>
    <x v="50"/>
    <x v="33"/>
    <x v="39"/>
    <x v="34"/>
    <x v="39"/>
    <x v="147"/>
    <x v="95"/>
    <x v="67"/>
    <x v="36"/>
    <x v="26"/>
    <x v="3"/>
    <x v="5"/>
    <x v="14"/>
    <x v="2"/>
    <x v="0"/>
    <x v="0"/>
    <x v="9"/>
    <x v="4"/>
    <x v="4"/>
    <x v="5"/>
    <x v="138"/>
    <x v="119"/>
    <x v="0"/>
    <x v="0"/>
    <x v="0"/>
    <x v="16"/>
    <x v="0"/>
    <x v="0"/>
    <x v="0"/>
    <x v="0"/>
    <x v="0"/>
    <x v="0"/>
    <x v="0"/>
    <x v="3"/>
    <x v="2"/>
    <x v="16"/>
    <x v="5"/>
    <x v="9"/>
    <x v="0"/>
  </r>
  <r>
    <x v="167"/>
    <x v="28"/>
    <x v="24"/>
    <x v="8"/>
    <x v="2"/>
    <x v="1"/>
    <x v="1"/>
    <x v="4"/>
    <x v="9"/>
    <x v="6"/>
    <x v="1"/>
    <x v="3"/>
    <x v="7"/>
    <x v="7"/>
    <x v="9"/>
    <x v="6"/>
    <x v="1"/>
    <x v="2"/>
    <x v="2"/>
    <x v="1"/>
    <x v="1"/>
    <x v="8"/>
    <x v="109"/>
    <x v="9"/>
    <x v="0"/>
    <x v="16"/>
    <x v="7"/>
    <x v="1"/>
    <x v="9"/>
    <x v="3"/>
    <x v="10"/>
    <x v="4"/>
    <x v="2"/>
    <x v="8"/>
    <x v="0"/>
    <x v="2"/>
    <x v="3"/>
    <x v="22"/>
    <x v="17"/>
    <x v="21"/>
    <x v="23"/>
    <x v="24"/>
    <x v="0"/>
    <x v="113"/>
    <x v="36"/>
    <x v="26"/>
    <x v="3"/>
    <x v="5"/>
    <x v="14"/>
    <x v="2"/>
    <x v="0"/>
    <x v="0"/>
    <x v="75"/>
    <x v="72"/>
    <x v="63"/>
    <x v="92"/>
    <x v="117"/>
    <x v="0"/>
    <x v="0"/>
    <x v="0"/>
    <x v="0"/>
    <x v="14"/>
    <x v="4"/>
    <x v="12"/>
    <x v="0"/>
    <x v="0"/>
    <x v="0"/>
    <x v="0"/>
    <x v="0"/>
    <x v="3"/>
    <x v="2"/>
    <x v="14"/>
    <x v="10"/>
    <x v="16"/>
    <x v="0"/>
  </r>
  <r>
    <x v="171"/>
    <x v="4"/>
    <x v="14"/>
    <x v="14"/>
    <x v="2"/>
    <x v="1"/>
    <x v="1"/>
    <x v="4"/>
    <x v="3"/>
    <x v="11"/>
    <x v="1"/>
    <x v="3"/>
    <x v="5"/>
    <x v="5"/>
    <x v="4"/>
    <x v="11"/>
    <x v="1"/>
    <x v="2"/>
    <x v="2"/>
    <x v="1"/>
    <x v="10"/>
    <x v="10"/>
    <x v="110"/>
    <x v="0"/>
    <x v="0"/>
    <x v="22"/>
    <x v="7"/>
    <x v="2"/>
    <x v="9"/>
    <x v="3"/>
    <x v="10"/>
    <x v="4"/>
    <x v="2"/>
    <x v="7"/>
    <x v="3"/>
    <x v="2"/>
    <x v="82"/>
    <x v="130"/>
    <x v="141"/>
    <x v="60"/>
    <x v="0"/>
    <x v="148"/>
    <x v="0"/>
    <x v="0"/>
    <x v="36"/>
    <x v="26"/>
    <x v="3"/>
    <x v="5"/>
    <x v="14"/>
    <x v="2"/>
    <x v="0"/>
    <x v="0"/>
    <x v="117"/>
    <x v="125"/>
    <x v="21"/>
    <x v="0"/>
    <x v="112"/>
    <x v="0"/>
    <x v="0"/>
    <x v="0"/>
    <x v="0"/>
    <x v="15"/>
    <x v="2"/>
    <x v="7"/>
    <x v="0"/>
    <x v="0"/>
    <x v="0"/>
    <x v="0"/>
    <x v="0"/>
    <x v="3"/>
    <x v="2"/>
    <x v="15"/>
    <x v="5"/>
    <x v="1"/>
    <x v="0"/>
  </r>
  <r>
    <x v="120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11"/>
    <x v="7"/>
    <x v="0"/>
    <x v="14"/>
    <x v="7"/>
    <x v="2"/>
    <x v="9"/>
    <x v="3"/>
    <x v="10"/>
    <x v="4"/>
    <x v="2"/>
    <x v="11"/>
    <x v="3"/>
    <x v="2"/>
    <x v="49"/>
    <x v="63"/>
    <x v="146"/>
    <x v="111"/>
    <x v="109"/>
    <x v="124"/>
    <x v="71"/>
    <x v="59"/>
    <x v="36"/>
    <x v="26"/>
    <x v="3"/>
    <x v="5"/>
    <x v="14"/>
    <x v="2"/>
    <x v="0"/>
    <x v="0"/>
    <x v="29"/>
    <x v="152"/>
    <x v="107"/>
    <x v="108"/>
    <x v="88"/>
    <x v="77"/>
    <x v="0"/>
    <x v="0"/>
    <x v="0"/>
    <x v="7"/>
    <x v="2"/>
    <x v="8"/>
    <x v="0"/>
    <x v="0"/>
    <x v="0"/>
    <x v="0"/>
    <x v="1"/>
    <x v="3"/>
    <x v="2"/>
    <x v="7"/>
    <x v="7"/>
    <x v="13"/>
    <x v="0"/>
  </r>
  <r>
    <x v="121"/>
    <x v="20"/>
    <x v="11"/>
    <x v="17"/>
    <x v="2"/>
    <x v="1"/>
    <x v="1"/>
    <x v="4"/>
    <x v="11"/>
    <x v="11"/>
    <x v="1"/>
    <x v="2"/>
    <x v="2"/>
    <x v="2"/>
    <x v="11"/>
    <x v="11"/>
    <x v="2"/>
    <x v="2"/>
    <x v="2"/>
    <x v="1"/>
    <x v="10"/>
    <x v="10"/>
    <x v="112"/>
    <x v="7"/>
    <x v="0"/>
    <x v="22"/>
    <x v="7"/>
    <x v="2"/>
    <x v="9"/>
    <x v="3"/>
    <x v="10"/>
    <x v="4"/>
    <x v="2"/>
    <x v="11"/>
    <x v="3"/>
    <x v="2"/>
    <x v="82"/>
    <x v="124"/>
    <x v="154"/>
    <x v="80"/>
    <x v="97"/>
    <x v="118"/>
    <x v="55"/>
    <x v="25"/>
    <x v="36"/>
    <x v="26"/>
    <x v="3"/>
    <x v="5"/>
    <x v="14"/>
    <x v="2"/>
    <x v="0"/>
    <x v="0"/>
    <x v="107"/>
    <x v="164"/>
    <x v="48"/>
    <x v="80"/>
    <x v="65"/>
    <x v="44"/>
    <x v="0"/>
    <x v="0"/>
    <x v="0"/>
    <x v="8"/>
    <x v="2"/>
    <x v="10"/>
    <x v="0"/>
    <x v="0"/>
    <x v="0"/>
    <x v="0"/>
    <x v="1"/>
    <x v="3"/>
    <x v="2"/>
    <x v="8"/>
    <x v="7"/>
    <x v="12"/>
    <x v="0"/>
  </r>
  <r>
    <x v="122"/>
    <x v="21"/>
    <x v="6"/>
    <x v="20"/>
    <x v="2"/>
    <x v="1"/>
    <x v="1"/>
    <x v="5"/>
    <x v="8"/>
    <x v="11"/>
    <x v="1"/>
    <x v="3"/>
    <x v="8"/>
    <x v="8"/>
    <x v="8"/>
    <x v="11"/>
    <x v="4"/>
    <x v="3"/>
    <x v="3"/>
    <x v="1"/>
    <x v="10"/>
    <x v="10"/>
    <x v="113"/>
    <x v="11"/>
    <x v="0"/>
    <x v="13"/>
    <x v="7"/>
    <x v="2"/>
    <x v="9"/>
    <x v="3"/>
    <x v="10"/>
    <x v="4"/>
    <x v="2"/>
    <x v="11"/>
    <x v="3"/>
    <x v="7"/>
    <x v="82"/>
    <x v="124"/>
    <x v="154"/>
    <x v="80"/>
    <x v="97"/>
    <x v="118"/>
    <x v="55"/>
    <x v="25"/>
    <x v="36"/>
    <x v="26"/>
    <x v="3"/>
    <x v="5"/>
    <x v="14"/>
    <x v="2"/>
    <x v="0"/>
    <x v="0"/>
    <x v="107"/>
    <x v="164"/>
    <x v="48"/>
    <x v="80"/>
    <x v="65"/>
    <x v="44"/>
    <x v="0"/>
    <x v="0"/>
    <x v="0"/>
    <x v="9"/>
    <x v="2"/>
    <x v="9"/>
    <x v="0"/>
    <x v="0"/>
    <x v="0"/>
    <x v="0"/>
    <x v="1"/>
    <x v="3"/>
    <x v="2"/>
    <x v="9"/>
    <x v="7"/>
    <x v="7"/>
    <x v="0"/>
  </r>
  <r>
    <x v="21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4"/>
    <x v="23"/>
    <x v="0"/>
    <x v="5"/>
    <x v="7"/>
    <x v="2"/>
    <x v="7"/>
    <x v="3"/>
    <x v="10"/>
    <x v="4"/>
    <x v="2"/>
    <x v="13"/>
    <x v="3"/>
    <x v="0"/>
    <x v="82"/>
    <x v="54"/>
    <x v="42"/>
    <x v="44"/>
    <x v="47"/>
    <x v="129"/>
    <x v="55"/>
    <x v="94"/>
    <x v="23"/>
    <x v="12"/>
    <x v="3"/>
    <x v="5"/>
    <x v="8"/>
    <x v="2"/>
    <x v="0"/>
    <x v="0"/>
    <x v="23"/>
    <x v="10"/>
    <x v="16"/>
    <x v="32"/>
    <x v="162"/>
    <x v="76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2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5"/>
    <x v="24"/>
    <x v="0"/>
    <x v="5"/>
    <x v="7"/>
    <x v="2"/>
    <x v="7"/>
    <x v="3"/>
    <x v="10"/>
    <x v="4"/>
    <x v="2"/>
    <x v="13"/>
    <x v="3"/>
    <x v="0"/>
    <x v="72"/>
    <x v="59"/>
    <x v="53"/>
    <x v="45"/>
    <x v="48"/>
    <x v="119"/>
    <x v="76"/>
    <x v="85"/>
    <x v="24"/>
    <x v="13"/>
    <x v="3"/>
    <x v="5"/>
    <x v="10"/>
    <x v="2"/>
    <x v="0"/>
    <x v="0"/>
    <x v="36"/>
    <x v="22"/>
    <x v="26"/>
    <x v="40"/>
    <x v="156"/>
    <x v="93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3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6"/>
    <x v="26"/>
    <x v="0"/>
    <x v="5"/>
    <x v="7"/>
    <x v="2"/>
    <x v="7"/>
    <x v="3"/>
    <x v="10"/>
    <x v="4"/>
    <x v="2"/>
    <x v="13"/>
    <x v="3"/>
    <x v="0"/>
    <x v="82"/>
    <x v="57"/>
    <x v="44"/>
    <x v="44"/>
    <x v="45"/>
    <x v="111"/>
    <x v="38"/>
    <x v="89"/>
    <x v="25"/>
    <x v="17"/>
    <x v="3"/>
    <x v="5"/>
    <x v="7"/>
    <x v="2"/>
    <x v="0"/>
    <x v="0"/>
    <x v="40"/>
    <x v="13"/>
    <x v="27"/>
    <x v="46"/>
    <x v="157"/>
    <x v="63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9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7"/>
    <x v="27"/>
    <x v="0"/>
    <x v="5"/>
    <x v="7"/>
    <x v="2"/>
    <x v="7"/>
    <x v="3"/>
    <x v="10"/>
    <x v="4"/>
    <x v="2"/>
    <x v="13"/>
    <x v="3"/>
    <x v="0"/>
    <x v="72"/>
    <x v="56"/>
    <x v="44"/>
    <x v="42"/>
    <x v="38"/>
    <x v="83"/>
    <x v="68"/>
    <x v="40"/>
    <x v="30"/>
    <x v="25"/>
    <x v="3"/>
    <x v="5"/>
    <x v="6"/>
    <x v="2"/>
    <x v="0"/>
    <x v="0"/>
    <x v="71"/>
    <x v="28"/>
    <x v="35"/>
    <x v="37"/>
    <x v="142"/>
    <x v="103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1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8"/>
    <x v="27"/>
    <x v="0"/>
    <x v="6"/>
    <x v="7"/>
    <x v="2"/>
    <x v="6"/>
    <x v="3"/>
    <x v="10"/>
    <x v="3"/>
    <x v="2"/>
    <x v="13"/>
    <x v="3"/>
    <x v="0"/>
    <x v="72"/>
    <x v="54"/>
    <x v="155"/>
    <x v="154"/>
    <x v="148"/>
    <x v="93"/>
    <x v="99"/>
    <x v="46"/>
    <x v="29"/>
    <x v="22"/>
    <x v="3"/>
    <x v="5"/>
    <x v="14"/>
    <x v="2"/>
    <x v="0"/>
    <x v="0"/>
    <x v="42"/>
    <x v="0"/>
    <x v="0"/>
    <x v="0"/>
    <x v="164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2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19"/>
    <x v="27"/>
    <x v="0"/>
    <x v="7"/>
    <x v="7"/>
    <x v="2"/>
    <x v="5"/>
    <x v="3"/>
    <x v="10"/>
    <x v="3"/>
    <x v="2"/>
    <x v="13"/>
    <x v="3"/>
    <x v="0"/>
    <x v="82"/>
    <x v="76"/>
    <x v="155"/>
    <x v="154"/>
    <x v="55"/>
    <x v="104"/>
    <x v="38"/>
    <x v="71"/>
    <x v="26"/>
    <x v="16"/>
    <x v="3"/>
    <x v="5"/>
    <x v="5"/>
    <x v="2"/>
    <x v="0"/>
    <x v="0"/>
    <x v="102"/>
    <x v="0"/>
    <x v="0"/>
    <x v="76"/>
    <x v="143"/>
    <x v="61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3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0"/>
    <x v="27"/>
    <x v="0"/>
    <x v="8"/>
    <x v="7"/>
    <x v="2"/>
    <x v="5"/>
    <x v="3"/>
    <x v="10"/>
    <x v="3"/>
    <x v="2"/>
    <x v="13"/>
    <x v="3"/>
    <x v="0"/>
    <x v="87"/>
    <x v="84"/>
    <x v="155"/>
    <x v="154"/>
    <x v="148"/>
    <x v="105"/>
    <x v="99"/>
    <x v="55"/>
    <x v="27"/>
    <x v="15"/>
    <x v="3"/>
    <x v="5"/>
    <x v="14"/>
    <x v="2"/>
    <x v="0"/>
    <x v="0"/>
    <x v="116"/>
    <x v="0"/>
    <x v="0"/>
    <x v="0"/>
    <x v="14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4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1"/>
    <x v="27"/>
    <x v="0"/>
    <x v="9"/>
    <x v="7"/>
    <x v="2"/>
    <x v="5"/>
    <x v="3"/>
    <x v="10"/>
    <x v="3"/>
    <x v="2"/>
    <x v="13"/>
    <x v="3"/>
    <x v="0"/>
    <x v="82"/>
    <x v="91"/>
    <x v="155"/>
    <x v="154"/>
    <x v="148"/>
    <x v="100"/>
    <x v="70"/>
    <x v="34"/>
    <x v="28"/>
    <x v="14"/>
    <x v="3"/>
    <x v="5"/>
    <x v="9"/>
    <x v="2"/>
    <x v="0"/>
    <x v="0"/>
    <x v="122"/>
    <x v="0"/>
    <x v="0"/>
    <x v="0"/>
    <x v="128"/>
    <x v="95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4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2"/>
    <x v="27"/>
    <x v="0"/>
    <x v="5"/>
    <x v="7"/>
    <x v="2"/>
    <x v="0"/>
    <x v="3"/>
    <x v="10"/>
    <x v="1"/>
    <x v="2"/>
    <x v="13"/>
    <x v="3"/>
    <x v="0"/>
    <x v="72"/>
    <x v="157"/>
    <x v="155"/>
    <x v="154"/>
    <x v="148"/>
    <x v="71"/>
    <x v="99"/>
    <x v="20"/>
    <x v="33"/>
    <x v="20"/>
    <x v="3"/>
    <x v="5"/>
    <x v="6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5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3"/>
    <x v="27"/>
    <x v="0"/>
    <x v="5"/>
    <x v="7"/>
    <x v="2"/>
    <x v="1"/>
    <x v="3"/>
    <x v="10"/>
    <x v="1"/>
    <x v="2"/>
    <x v="13"/>
    <x v="3"/>
    <x v="0"/>
    <x v="72"/>
    <x v="157"/>
    <x v="155"/>
    <x v="154"/>
    <x v="148"/>
    <x v="71"/>
    <x v="99"/>
    <x v="18"/>
    <x v="34"/>
    <x v="19"/>
    <x v="3"/>
    <x v="5"/>
    <x v="5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6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4"/>
    <x v="27"/>
    <x v="0"/>
    <x v="5"/>
    <x v="7"/>
    <x v="2"/>
    <x v="2"/>
    <x v="3"/>
    <x v="10"/>
    <x v="1"/>
    <x v="2"/>
    <x v="13"/>
    <x v="3"/>
    <x v="0"/>
    <x v="88"/>
    <x v="157"/>
    <x v="155"/>
    <x v="154"/>
    <x v="148"/>
    <x v="170"/>
    <x v="99"/>
    <x v="14"/>
    <x v="32"/>
    <x v="23"/>
    <x v="3"/>
    <x v="5"/>
    <x v="4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7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5"/>
    <x v="27"/>
    <x v="0"/>
    <x v="5"/>
    <x v="7"/>
    <x v="2"/>
    <x v="3"/>
    <x v="3"/>
    <x v="10"/>
    <x v="1"/>
    <x v="2"/>
    <x v="13"/>
    <x v="3"/>
    <x v="0"/>
    <x v="72"/>
    <x v="157"/>
    <x v="155"/>
    <x v="154"/>
    <x v="148"/>
    <x v="68"/>
    <x v="99"/>
    <x v="24"/>
    <x v="31"/>
    <x v="24"/>
    <x v="3"/>
    <x v="5"/>
    <x v="5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28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6"/>
    <x v="27"/>
    <x v="0"/>
    <x v="5"/>
    <x v="7"/>
    <x v="2"/>
    <x v="4"/>
    <x v="3"/>
    <x v="10"/>
    <x v="1"/>
    <x v="2"/>
    <x v="13"/>
    <x v="3"/>
    <x v="0"/>
    <x v="82"/>
    <x v="157"/>
    <x v="155"/>
    <x v="154"/>
    <x v="148"/>
    <x v="81"/>
    <x v="99"/>
    <x v="20"/>
    <x v="31"/>
    <x v="21"/>
    <x v="3"/>
    <x v="5"/>
    <x v="5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30"/>
    <x v="3"/>
    <x v="2"/>
    <x v="28"/>
    <x v="2"/>
    <x v="4"/>
    <x v="2"/>
    <x v="1"/>
    <x v="2"/>
    <x v="2"/>
    <x v="2"/>
    <x v="5"/>
    <x v="3"/>
    <x v="3"/>
    <x v="2"/>
    <x v="2"/>
    <x v="0"/>
    <x v="0"/>
    <x v="0"/>
    <x v="1"/>
    <x v="10"/>
    <x v="9"/>
    <x v="127"/>
    <x v="27"/>
    <x v="0"/>
    <x v="5"/>
    <x v="7"/>
    <x v="2"/>
    <x v="8"/>
    <x v="3"/>
    <x v="10"/>
    <x v="1"/>
    <x v="2"/>
    <x v="13"/>
    <x v="3"/>
    <x v="0"/>
    <x v="82"/>
    <x v="157"/>
    <x v="155"/>
    <x v="154"/>
    <x v="148"/>
    <x v="65"/>
    <x v="99"/>
    <x v="18"/>
    <x v="35"/>
    <x v="18"/>
    <x v="3"/>
    <x v="5"/>
    <x v="4"/>
    <x v="2"/>
    <x v="0"/>
    <x v="0"/>
    <x v="0"/>
    <x v="0"/>
    <x v="0"/>
    <x v="0"/>
    <x v="167"/>
    <x v="0"/>
    <x v="0"/>
    <x v="0"/>
    <x v="1"/>
    <x v="1"/>
    <x v="0"/>
    <x v="0"/>
    <x v="0"/>
    <x v="0"/>
    <x v="0"/>
    <x v="0"/>
    <x v="0"/>
    <x v="3"/>
    <x v="2"/>
    <x v="1"/>
    <x v="3"/>
    <x v="0"/>
    <x v="0"/>
  </r>
  <r>
    <x v="95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28"/>
    <x v="20"/>
    <x v="0"/>
    <x v="2"/>
    <x v="7"/>
    <x v="2"/>
    <x v="9"/>
    <x v="3"/>
    <x v="3"/>
    <x v="4"/>
    <x v="2"/>
    <x v="13"/>
    <x v="3"/>
    <x v="1"/>
    <x v="82"/>
    <x v="147"/>
    <x v="92"/>
    <x v="123"/>
    <x v="100"/>
    <x v="63"/>
    <x v="99"/>
    <x v="86"/>
    <x v="17"/>
    <x v="6"/>
    <x v="0"/>
    <x v="5"/>
    <x v="14"/>
    <x v="2"/>
    <x v="0"/>
    <x v="0"/>
    <x v="153"/>
    <x v="63"/>
    <x v="125"/>
    <x v="90"/>
    <x v="21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0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29"/>
    <x v="21"/>
    <x v="0"/>
    <x v="2"/>
    <x v="7"/>
    <x v="2"/>
    <x v="9"/>
    <x v="3"/>
    <x v="3"/>
    <x v="4"/>
    <x v="2"/>
    <x v="13"/>
    <x v="3"/>
    <x v="1"/>
    <x v="82"/>
    <x v="132"/>
    <x v="110"/>
    <x v="134"/>
    <x v="121"/>
    <x v="62"/>
    <x v="99"/>
    <x v="102"/>
    <x v="16"/>
    <x v="7"/>
    <x v="0"/>
    <x v="5"/>
    <x v="14"/>
    <x v="2"/>
    <x v="0"/>
    <x v="0"/>
    <x v="131"/>
    <x v="91"/>
    <x v="138"/>
    <x v="118"/>
    <x v="2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5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0"/>
    <x v="22"/>
    <x v="0"/>
    <x v="2"/>
    <x v="7"/>
    <x v="2"/>
    <x v="9"/>
    <x v="3"/>
    <x v="3"/>
    <x v="4"/>
    <x v="2"/>
    <x v="13"/>
    <x v="3"/>
    <x v="1"/>
    <x v="82"/>
    <x v="136"/>
    <x v="101"/>
    <x v="126"/>
    <x v="117"/>
    <x v="72"/>
    <x v="99"/>
    <x v="101"/>
    <x v="21"/>
    <x v="10"/>
    <x v="0"/>
    <x v="5"/>
    <x v="14"/>
    <x v="2"/>
    <x v="0"/>
    <x v="0"/>
    <x v="140"/>
    <x v="77"/>
    <x v="134"/>
    <x v="116"/>
    <x v="26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6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1"/>
    <x v="20"/>
    <x v="0"/>
    <x v="2"/>
    <x v="7"/>
    <x v="2"/>
    <x v="9"/>
    <x v="3"/>
    <x v="3"/>
    <x v="4"/>
    <x v="1"/>
    <x v="13"/>
    <x v="3"/>
    <x v="1"/>
    <x v="82"/>
    <x v="131"/>
    <x v="125"/>
    <x v="147"/>
    <x v="111"/>
    <x v="52"/>
    <x v="99"/>
    <x v="75"/>
    <x v="12"/>
    <x v="4"/>
    <x v="0"/>
    <x v="5"/>
    <x v="14"/>
    <x v="2"/>
    <x v="0"/>
    <x v="0"/>
    <x v="121"/>
    <x v="111"/>
    <x v="149"/>
    <x v="104"/>
    <x v="13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1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2"/>
    <x v="21"/>
    <x v="0"/>
    <x v="2"/>
    <x v="7"/>
    <x v="2"/>
    <x v="9"/>
    <x v="3"/>
    <x v="3"/>
    <x v="4"/>
    <x v="1"/>
    <x v="13"/>
    <x v="3"/>
    <x v="1"/>
    <x v="83"/>
    <x v="115"/>
    <x v="131"/>
    <x v="148"/>
    <x v="128"/>
    <x v="47"/>
    <x v="99"/>
    <x v="88"/>
    <x v="10"/>
    <x v="3"/>
    <x v="0"/>
    <x v="5"/>
    <x v="14"/>
    <x v="2"/>
    <x v="0"/>
    <x v="0"/>
    <x v="106"/>
    <x v="121"/>
    <x v="151"/>
    <x v="124"/>
    <x v="1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6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3"/>
    <x v="22"/>
    <x v="0"/>
    <x v="2"/>
    <x v="7"/>
    <x v="2"/>
    <x v="9"/>
    <x v="3"/>
    <x v="3"/>
    <x v="4"/>
    <x v="1"/>
    <x v="13"/>
    <x v="3"/>
    <x v="1"/>
    <x v="83"/>
    <x v="104"/>
    <x v="128"/>
    <x v="151"/>
    <x v="135"/>
    <x v="54"/>
    <x v="99"/>
    <x v="98"/>
    <x v="14"/>
    <x v="6"/>
    <x v="0"/>
    <x v="5"/>
    <x v="14"/>
    <x v="2"/>
    <x v="0"/>
    <x v="0"/>
    <x v="85"/>
    <x v="123"/>
    <x v="158"/>
    <x v="130"/>
    <x v="15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6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4"/>
    <x v="21"/>
    <x v="0"/>
    <x v="0"/>
    <x v="7"/>
    <x v="2"/>
    <x v="9"/>
    <x v="3"/>
    <x v="3"/>
    <x v="3"/>
    <x v="2"/>
    <x v="13"/>
    <x v="3"/>
    <x v="1"/>
    <x v="82"/>
    <x v="116"/>
    <x v="85"/>
    <x v="133"/>
    <x v="114"/>
    <x v="82"/>
    <x v="99"/>
    <x v="108"/>
    <x v="22"/>
    <x v="11"/>
    <x v="2"/>
    <x v="5"/>
    <x v="14"/>
    <x v="2"/>
    <x v="0"/>
    <x v="0"/>
    <x v="118"/>
    <x v="64"/>
    <x v="139"/>
    <x v="119"/>
    <x v="3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7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5"/>
    <x v="21"/>
    <x v="0"/>
    <x v="1"/>
    <x v="7"/>
    <x v="2"/>
    <x v="9"/>
    <x v="3"/>
    <x v="3"/>
    <x v="3"/>
    <x v="2"/>
    <x v="13"/>
    <x v="3"/>
    <x v="1"/>
    <x v="82"/>
    <x v="145"/>
    <x v="87"/>
    <x v="121"/>
    <x v="107"/>
    <x v="56"/>
    <x v="99"/>
    <x v="96"/>
    <x v="13"/>
    <x v="6"/>
    <x v="0"/>
    <x v="5"/>
    <x v="14"/>
    <x v="2"/>
    <x v="0"/>
    <x v="0"/>
    <x v="155"/>
    <x v="60"/>
    <x v="119"/>
    <x v="100"/>
    <x v="16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0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6"/>
    <x v="21"/>
    <x v="0"/>
    <x v="2"/>
    <x v="7"/>
    <x v="2"/>
    <x v="9"/>
    <x v="3"/>
    <x v="3"/>
    <x v="3"/>
    <x v="2"/>
    <x v="13"/>
    <x v="3"/>
    <x v="1"/>
    <x v="82"/>
    <x v="132"/>
    <x v="110"/>
    <x v="134"/>
    <x v="121"/>
    <x v="62"/>
    <x v="99"/>
    <x v="102"/>
    <x v="16"/>
    <x v="7"/>
    <x v="0"/>
    <x v="5"/>
    <x v="14"/>
    <x v="2"/>
    <x v="0"/>
    <x v="0"/>
    <x v="131"/>
    <x v="91"/>
    <x v="138"/>
    <x v="118"/>
    <x v="2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3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7"/>
    <x v="21"/>
    <x v="0"/>
    <x v="3"/>
    <x v="7"/>
    <x v="2"/>
    <x v="9"/>
    <x v="3"/>
    <x v="3"/>
    <x v="3"/>
    <x v="2"/>
    <x v="13"/>
    <x v="3"/>
    <x v="1"/>
    <x v="82"/>
    <x v="149"/>
    <x v="91"/>
    <x v="119"/>
    <x v="105"/>
    <x v="53"/>
    <x v="99"/>
    <x v="90"/>
    <x v="15"/>
    <x v="7"/>
    <x v="0"/>
    <x v="5"/>
    <x v="14"/>
    <x v="2"/>
    <x v="0"/>
    <x v="0"/>
    <x v="158"/>
    <x v="62"/>
    <x v="113"/>
    <x v="94"/>
    <x v="14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4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8"/>
    <x v="21"/>
    <x v="0"/>
    <x v="4"/>
    <x v="7"/>
    <x v="2"/>
    <x v="9"/>
    <x v="3"/>
    <x v="3"/>
    <x v="3"/>
    <x v="2"/>
    <x v="13"/>
    <x v="3"/>
    <x v="1"/>
    <x v="82"/>
    <x v="156"/>
    <x v="123"/>
    <x v="109"/>
    <x v="72"/>
    <x v="38"/>
    <x v="99"/>
    <x v="42"/>
    <x v="7"/>
    <x v="3"/>
    <x v="0"/>
    <x v="5"/>
    <x v="14"/>
    <x v="2"/>
    <x v="0"/>
    <x v="0"/>
    <x v="162"/>
    <x v="99"/>
    <x v="92"/>
    <x v="38"/>
    <x v="2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7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39"/>
    <x v="21"/>
    <x v="0"/>
    <x v="0"/>
    <x v="7"/>
    <x v="2"/>
    <x v="9"/>
    <x v="3"/>
    <x v="3"/>
    <x v="3"/>
    <x v="1"/>
    <x v="13"/>
    <x v="3"/>
    <x v="1"/>
    <x v="80"/>
    <x v="127"/>
    <x v="106"/>
    <x v="137"/>
    <x v="116"/>
    <x v="60"/>
    <x v="99"/>
    <x v="100"/>
    <x v="20"/>
    <x v="9"/>
    <x v="1"/>
    <x v="5"/>
    <x v="14"/>
    <x v="2"/>
    <x v="0"/>
    <x v="0"/>
    <x v="120"/>
    <x v="85"/>
    <x v="144"/>
    <x v="114"/>
    <x v="18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8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0"/>
    <x v="21"/>
    <x v="0"/>
    <x v="1"/>
    <x v="7"/>
    <x v="2"/>
    <x v="9"/>
    <x v="3"/>
    <x v="3"/>
    <x v="3"/>
    <x v="1"/>
    <x v="13"/>
    <x v="3"/>
    <x v="1"/>
    <x v="82"/>
    <x v="102"/>
    <x v="102"/>
    <x v="146"/>
    <x v="137"/>
    <x v="57"/>
    <x v="99"/>
    <x v="106"/>
    <x v="11"/>
    <x v="4"/>
    <x v="0"/>
    <x v="5"/>
    <x v="14"/>
    <x v="2"/>
    <x v="0"/>
    <x v="0"/>
    <x v="82"/>
    <x v="87"/>
    <x v="156"/>
    <x v="136"/>
    <x v="17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1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1"/>
    <x v="21"/>
    <x v="0"/>
    <x v="2"/>
    <x v="7"/>
    <x v="2"/>
    <x v="9"/>
    <x v="3"/>
    <x v="3"/>
    <x v="3"/>
    <x v="1"/>
    <x v="13"/>
    <x v="3"/>
    <x v="1"/>
    <x v="83"/>
    <x v="115"/>
    <x v="131"/>
    <x v="148"/>
    <x v="128"/>
    <x v="47"/>
    <x v="99"/>
    <x v="88"/>
    <x v="10"/>
    <x v="3"/>
    <x v="0"/>
    <x v="5"/>
    <x v="14"/>
    <x v="2"/>
    <x v="0"/>
    <x v="0"/>
    <x v="106"/>
    <x v="121"/>
    <x v="151"/>
    <x v="124"/>
    <x v="1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4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2"/>
    <x v="21"/>
    <x v="0"/>
    <x v="3"/>
    <x v="7"/>
    <x v="2"/>
    <x v="9"/>
    <x v="3"/>
    <x v="3"/>
    <x v="3"/>
    <x v="1"/>
    <x v="13"/>
    <x v="3"/>
    <x v="1"/>
    <x v="82"/>
    <x v="140"/>
    <x v="126"/>
    <x v="145"/>
    <x v="108"/>
    <x v="40"/>
    <x v="99"/>
    <x v="66"/>
    <x v="4"/>
    <x v="1"/>
    <x v="0"/>
    <x v="5"/>
    <x v="14"/>
    <x v="2"/>
    <x v="0"/>
    <x v="0"/>
    <x v="136"/>
    <x v="108"/>
    <x v="145"/>
    <x v="96"/>
    <x v="4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5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3"/>
    <x v="21"/>
    <x v="0"/>
    <x v="4"/>
    <x v="7"/>
    <x v="2"/>
    <x v="9"/>
    <x v="3"/>
    <x v="3"/>
    <x v="3"/>
    <x v="1"/>
    <x v="13"/>
    <x v="3"/>
    <x v="1"/>
    <x v="82"/>
    <x v="119"/>
    <x v="137"/>
    <x v="143"/>
    <x v="125"/>
    <x v="51"/>
    <x v="99"/>
    <x v="81"/>
    <x v="12"/>
    <x v="5"/>
    <x v="0"/>
    <x v="5"/>
    <x v="14"/>
    <x v="2"/>
    <x v="0"/>
    <x v="0"/>
    <x v="111"/>
    <x v="130"/>
    <x v="148"/>
    <x v="122"/>
    <x v="12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1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4"/>
    <x v="21"/>
    <x v="0"/>
    <x v="2"/>
    <x v="7"/>
    <x v="2"/>
    <x v="9"/>
    <x v="3"/>
    <x v="5"/>
    <x v="0"/>
    <x v="2"/>
    <x v="13"/>
    <x v="3"/>
    <x v="1"/>
    <x v="84"/>
    <x v="81"/>
    <x v="78"/>
    <x v="128"/>
    <x v="133"/>
    <x v="77"/>
    <x v="99"/>
    <x v="112"/>
    <x v="19"/>
    <x v="8"/>
    <x v="0"/>
    <x v="5"/>
    <x v="14"/>
    <x v="2"/>
    <x v="0"/>
    <x v="0"/>
    <x v="73"/>
    <x v="65"/>
    <x v="147"/>
    <x v="141"/>
    <x v="35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8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5"/>
    <x v="21"/>
    <x v="0"/>
    <x v="2"/>
    <x v="7"/>
    <x v="2"/>
    <x v="9"/>
    <x v="3"/>
    <x v="0"/>
    <x v="0"/>
    <x v="2"/>
    <x v="13"/>
    <x v="3"/>
    <x v="1"/>
    <x v="82"/>
    <x v="144"/>
    <x v="100"/>
    <x v="129"/>
    <x v="111"/>
    <x v="46"/>
    <x v="99"/>
    <x v="87"/>
    <x v="9"/>
    <x v="2"/>
    <x v="0"/>
    <x v="5"/>
    <x v="14"/>
    <x v="2"/>
    <x v="0"/>
    <x v="0"/>
    <x v="150"/>
    <x v="71"/>
    <x v="132"/>
    <x v="106"/>
    <x v="9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0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6"/>
    <x v="21"/>
    <x v="0"/>
    <x v="2"/>
    <x v="7"/>
    <x v="2"/>
    <x v="9"/>
    <x v="3"/>
    <x v="3"/>
    <x v="0"/>
    <x v="2"/>
    <x v="13"/>
    <x v="3"/>
    <x v="1"/>
    <x v="82"/>
    <x v="132"/>
    <x v="110"/>
    <x v="134"/>
    <x v="121"/>
    <x v="62"/>
    <x v="99"/>
    <x v="102"/>
    <x v="16"/>
    <x v="7"/>
    <x v="0"/>
    <x v="5"/>
    <x v="14"/>
    <x v="2"/>
    <x v="0"/>
    <x v="0"/>
    <x v="131"/>
    <x v="91"/>
    <x v="138"/>
    <x v="118"/>
    <x v="2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2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7"/>
    <x v="21"/>
    <x v="0"/>
    <x v="2"/>
    <x v="7"/>
    <x v="2"/>
    <x v="9"/>
    <x v="3"/>
    <x v="6"/>
    <x v="0"/>
    <x v="2"/>
    <x v="13"/>
    <x v="3"/>
    <x v="1"/>
    <x v="83"/>
    <x v="138"/>
    <x v="121"/>
    <x v="138"/>
    <x v="113"/>
    <x v="45"/>
    <x v="99"/>
    <x v="79"/>
    <x v="8"/>
    <x v="2"/>
    <x v="0"/>
    <x v="5"/>
    <x v="14"/>
    <x v="2"/>
    <x v="0"/>
    <x v="0"/>
    <x v="134"/>
    <x v="109"/>
    <x v="140"/>
    <x v="109"/>
    <x v="7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99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8"/>
    <x v="21"/>
    <x v="0"/>
    <x v="2"/>
    <x v="7"/>
    <x v="2"/>
    <x v="9"/>
    <x v="3"/>
    <x v="2"/>
    <x v="0"/>
    <x v="2"/>
    <x v="13"/>
    <x v="3"/>
    <x v="1"/>
    <x v="83"/>
    <x v="87"/>
    <x v="112"/>
    <x v="140"/>
    <x v="138"/>
    <x v="66"/>
    <x v="99"/>
    <x v="107"/>
    <x v="12"/>
    <x v="4"/>
    <x v="0"/>
    <x v="5"/>
    <x v="14"/>
    <x v="2"/>
    <x v="0"/>
    <x v="0"/>
    <x v="65"/>
    <x v="102"/>
    <x v="153"/>
    <x v="139"/>
    <x v="23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2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49"/>
    <x v="21"/>
    <x v="0"/>
    <x v="2"/>
    <x v="7"/>
    <x v="2"/>
    <x v="9"/>
    <x v="3"/>
    <x v="5"/>
    <x v="0"/>
    <x v="1"/>
    <x v="13"/>
    <x v="3"/>
    <x v="1"/>
    <x v="80"/>
    <x v="77"/>
    <x v="86"/>
    <x v="136"/>
    <x v="134"/>
    <x v="69"/>
    <x v="99"/>
    <x v="111"/>
    <x v="18"/>
    <x v="5"/>
    <x v="0"/>
    <x v="5"/>
    <x v="14"/>
    <x v="2"/>
    <x v="0"/>
    <x v="0"/>
    <x v="60"/>
    <x v="75"/>
    <x v="155"/>
    <x v="137"/>
    <x v="28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09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0"/>
    <x v="21"/>
    <x v="0"/>
    <x v="2"/>
    <x v="7"/>
    <x v="2"/>
    <x v="9"/>
    <x v="3"/>
    <x v="0"/>
    <x v="0"/>
    <x v="1"/>
    <x v="13"/>
    <x v="3"/>
    <x v="1"/>
    <x v="82"/>
    <x v="133"/>
    <x v="122"/>
    <x v="144"/>
    <x v="115"/>
    <x v="41"/>
    <x v="99"/>
    <x v="74"/>
    <x v="2"/>
    <x v="0"/>
    <x v="0"/>
    <x v="5"/>
    <x v="14"/>
    <x v="2"/>
    <x v="0"/>
    <x v="0"/>
    <x v="129"/>
    <x v="110"/>
    <x v="146"/>
    <x v="111"/>
    <x v="5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1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1"/>
    <x v="21"/>
    <x v="0"/>
    <x v="2"/>
    <x v="7"/>
    <x v="2"/>
    <x v="9"/>
    <x v="3"/>
    <x v="3"/>
    <x v="0"/>
    <x v="1"/>
    <x v="13"/>
    <x v="3"/>
    <x v="1"/>
    <x v="83"/>
    <x v="115"/>
    <x v="131"/>
    <x v="148"/>
    <x v="128"/>
    <x v="47"/>
    <x v="99"/>
    <x v="88"/>
    <x v="10"/>
    <x v="3"/>
    <x v="0"/>
    <x v="5"/>
    <x v="14"/>
    <x v="2"/>
    <x v="0"/>
    <x v="0"/>
    <x v="106"/>
    <x v="121"/>
    <x v="151"/>
    <x v="124"/>
    <x v="10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3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2"/>
    <x v="21"/>
    <x v="0"/>
    <x v="2"/>
    <x v="7"/>
    <x v="2"/>
    <x v="9"/>
    <x v="3"/>
    <x v="6"/>
    <x v="0"/>
    <x v="1"/>
    <x v="13"/>
    <x v="3"/>
    <x v="1"/>
    <x v="83"/>
    <x v="114"/>
    <x v="142"/>
    <x v="152"/>
    <x v="124"/>
    <x v="42"/>
    <x v="99"/>
    <x v="72"/>
    <x v="5"/>
    <x v="1"/>
    <x v="0"/>
    <x v="5"/>
    <x v="14"/>
    <x v="2"/>
    <x v="0"/>
    <x v="0"/>
    <x v="100"/>
    <x v="137"/>
    <x v="157"/>
    <x v="120"/>
    <x v="6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10"/>
    <x v="12"/>
    <x v="30"/>
    <x v="27"/>
    <x v="1"/>
    <x v="2"/>
    <x v="3"/>
    <x v="8"/>
    <x v="12"/>
    <x v="11"/>
    <x v="0"/>
    <x v="4"/>
    <x v="10"/>
    <x v="9"/>
    <x v="12"/>
    <x v="11"/>
    <x v="7"/>
    <x v="5"/>
    <x v="5"/>
    <x v="1"/>
    <x v="10"/>
    <x v="10"/>
    <x v="153"/>
    <x v="21"/>
    <x v="0"/>
    <x v="2"/>
    <x v="7"/>
    <x v="2"/>
    <x v="9"/>
    <x v="3"/>
    <x v="2"/>
    <x v="0"/>
    <x v="1"/>
    <x v="13"/>
    <x v="3"/>
    <x v="1"/>
    <x v="84"/>
    <x v="75"/>
    <x v="118"/>
    <x v="150"/>
    <x v="139"/>
    <x v="59"/>
    <x v="99"/>
    <x v="105"/>
    <x v="6"/>
    <x v="1"/>
    <x v="0"/>
    <x v="5"/>
    <x v="14"/>
    <x v="2"/>
    <x v="0"/>
    <x v="0"/>
    <x v="50"/>
    <x v="113"/>
    <x v="159"/>
    <x v="140"/>
    <x v="19"/>
    <x v="0"/>
    <x v="0"/>
    <x v="0"/>
    <x v="1"/>
    <x v="5"/>
    <x v="0"/>
    <x v="0"/>
    <x v="0"/>
    <x v="0"/>
    <x v="0"/>
    <x v="0"/>
    <x v="1"/>
    <x v="3"/>
    <x v="2"/>
    <x v="5"/>
    <x v="6"/>
    <x v="14"/>
    <x v="0"/>
  </r>
  <r>
    <x v="178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4"/>
    <x v="7"/>
    <x v="0"/>
    <x v="22"/>
    <x v="7"/>
    <x v="2"/>
    <x v="9"/>
    <x v="3"/>
    <x v="7"/>
    <x v="4"/>
    <x v="2"/>
    <x v="1"/>
    <x v="3"/>
    <x v="9"/>
    <x v="66"/>
    <x v="148"/>
    <x v="151"/>
    <x v="82"/>
    <x v="66"/>
    <x v="102"/>
    <x v="23"/>
    <x v="36"/>
    <x v="36"/>
    <x v="26"/>
    <x v="3"/>
    <x v="5"/>
    <x v="14"/>
    <x v="2"/>
    <x v="0"/>
    <x v="0"/>
    <x v="147"/>
    <x v="158"/>
    <x v="51"/>
    <x v="33"/>
    <x v="43"/>
    <x v="1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0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5"/>
    <x v="11"/>
    <x v="0"/>
    <x v="22"/>
    <x v="7"/>
    <x v="2"/>
    <x v="9"/>
    <x v="3"/>
    <x v="7"/>
    <x v="4"/>
    <x v="2"/>
    <x v="1"/>
    <x v="3"/>
    <x v="9"/>
    <x v="67"/>
    <x v="139"/>
    <x v="150"/>
    <x v="90"/>
    <x v="73"/>
    <x v="110"/>
    <x v="23"/>
    <x v="54"/>
    <x v="36"/>
    <x v="26"/>
    <x v="3"/>
    <x v="5"/>
    <x v="14"/>
    <x v="2"/>
    <x v="0"/>
    <x v="0"/>
    <x v="133"/>
    <x v="157"/>
    <x v="66"/>
    <x v="44"/>
    <x v="52"/>
    <x v="2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2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6"/>
    <x v="14"/>
    <x v="0"/>
    <x v="22"/>
    <x v="7"/>
    <x v="2"/>
    <x v="9"/>
    <x v="3"/>
    <x v="7"/>
    <x v="4"/>
    <x v="2"/>
    <x v="1"/>
    <x v="3"/>
    <x v="9"/>
    <x v="63"/>
    <x v="118"/>
    <x v="136"/>
    <x v="88"/>
    <x v="78"/>
    <x v="121"/>
    <x v="38"/>
    <x v="82"/>
    <x v="36"/>
    <x v="26"/>
    <x v="3"/>
    <x v="5"/>
    <x v="14"/>
    <x v="2"/>
    <x v="0"/>
    <x v="0"/>
    <x v="112"/>
    <x v="132"/>
    <x v="71"/>
    <x v="56"/>
    <x v="81"/>
    <x v="23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9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7"/>
    <x v="7"/>
    <x v="0"/>
    <x v="22"/>
    <x v="7"/>
    <x v="2"/>
    <x v="9"/>
    <x v="3"/>
    <x v="9"/>
    <x v="4"/>
    <x v="2"/>
    <x v="1"/>
    <x v="3"/>
    <x v="9"/>
    <x v="65"/>
    <x v="142"/>
    <x v="153"/>
    <x v="94"/>
    <x v="76"/>
    <x v="95"/>
    <x v="32"/>
    <x v="39"/>
    <x v="36"/>
    <x v="26"/>
    <x v="3"/>
    <x v="5"/>
    <x v="14"/>
    <x v="2"/>
    <x v="0"/>
    <x v="0"/>
    <x v="141"/>
    <x v="161"/>
    <x v="69"/>
    <x v="50"/>
    <x v="41"/>
    <x v="9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1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8"/>
    <x v="11"/>
    <x v="0"/>
    <x v="22"/>
    <x v="7"/>
    <x v="2"/>
    <x v="9"/>
    <x v="3"/>
    <x v="9"/>
    <x v="4"/>
    <x v="2"/>
    <x v="1"/>
    <x v="3"/>
    <x v="9"/>
    <x v="67"/>
    <x v="135"/>
    <x v="151"/>
    <x v="102"/>
    <x v="76"/>
    <x v="106"/>
    <x v="23"/>
    <x v="60"/>
    <x v="36"/>
    <x v="26"/>
    <x v="3"/>
    <x v="5"/>
    <x v="14"/>
    <x v="2"/>
    <x v="0"/>
    <x v="0"/>
    <x v="125"/>
    <x v="160"/>
    <x v="82"/>
    <x v="53"/>
    <x v="47"/>
    <x v="3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83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59"/>
    <x v="14"/>
    <x v="0"/>
    <x v="22"/>
    <x v="7"/>
    <x v="2"/>
    <x v="9"/>
    <x v="3"/>
    <x v="9"/>
    <x v="4"/>
    <x v="2"/>
    <x v="1"/>
    <x v="3"/>
    <x v="9"/>
    <x v="48"/>
    <x v="106"/>
    <x v="124"/>
    <x v="99"/>
    <x v="90"/>
    <x v="112"/>
    <x v="55"/>
    <x v="95"/>
    <x v="36"/>
    <x v="26"/>
    <x v="3"/>
    <x v="5"/>
    <x v="14"/>
    <x v="2"/>
    <x v="0"/>
    <x v="0"/>
    <x v="98"/>
    <x v="128"/>
    <x v="101"/>
    <x v="87"/>
    <x v="77"/>
    <x v="56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2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0"/>
    <x v="4"/>
    <x v="0"/>
    <x v="22"/>
    <x v="7"/>
    <x v="2"/>
    <x v="9"/>
    <x v="3"/>
    <x v="7"/>
    <x v="4"/>
    <x v="2"/>
    <x v="1"/>
    <x v="3"/>
    <x v="9"/>
    <x v="41"/>
    <x v="137"/>
    <x v="143"/>
    <x v="102"/>
    <x v="73"/>
    <x v="64"/>
    <x v="38"/>
    <x v="30"/>
    <x v="36"/>
    <x v="26"/>
    <x v="3"/>
    <x v="5"/>
    <x v="14"/>
    <x v="2"/>
    <x v="0"/>
    <x v="0"/>
    <x v="146"/>
    <x v="156"/>
    <x v="106"/>
    <x v="64"/>
    <x v="24"/>
    <x v="34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4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1"/>
    <x v="7"/>
    <x v="0"/>
    <x v="22"/>
    <x v="7"/>
    <x v="2"/>
    <x v="9"/>
    <x v="3"/>
    <x v="7"/>
    <x v="4"/>
    <x v="2"/>
    <x v="1"/>
    <x v="3"/>
    <x v="9"/>
    <x v="36"/>
    <x v="123"/>
    <x v="111"/>
    <x v="86"/>
    <x v="73"/>
    <x v="70"/>
    <x v="32"/>
    <x v="36"/>
    <x v="36"/>
    <x v="26"/>
    <x v="3"/>
    <x v="5"/>
    <x v="14"/>
    <x v="2"/>
    <x v="0"/>
    <x v="0"/>
    <x v="148"/>
    <x v="138"/>
    <x v="99"/>
    <x v="83"/>
    <x v="32"/>
    <x v="28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6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2"/>
    <x v="11"/>
    <x v="0"/>
    <x v="22"/>
    <x v="7"/>
    <x v="2"/>
    <x v="9"/>
    <x v="3"/>
    <x v="7"/>
    <x v="4"/>
    <x v="2"/>
    <x v="1"/>
    <x v="3"/>
    <x v="9"/>
    <x v="31"/>
    <x v="96"/>
    <x v="86"/>
    <x v="98"/>
    <x v="93"/>
    <x v="58"/>
    <x v="46"/>
    <x v="51"/>
    <x v="36"/>
    <x v="26"/>
    <x v="3"/>
    <x v="5"/>
    <x v="14"/>
    <x v="2"/>
    <x v="0"/>
    <x v="0"/>
    <x v="114"/>
    <x v="127"/>
    <x v="135"/>
    <x v="115"/>
    <x v="29"/>
    <x v="64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3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3"/>
    <x v="4"/>
    <x v="0"/>
    <x v="22"/>
    <x v="7"/>
    <x v="2"/>
    <x v="9"/>
    <x v="3"/>
    <x v="9"/>
    <x v="4"/>
    <x v="2"/>
    <x v="1"/>
    <x v="3"/>
    <x v="9"/>
    <x v="30"/>
    <x v="121"/>
    <x v="81"/>
    <x v="71"/>
    <x v="62"/>
    <x v="67"/>
    <x v="32"/>
    <x v="28"/>
    <x v="36"/>
    <x v="26"/>
    <x v="3"/>
    <x v="5"/>
    <x v="14"/>
    <x v="2"/>
    <x v="0"/>
    <x v="0"/>
    <x v="157"/>
    <x v="116"/>
    <x v="58"/>
    <x v="81"/>
    <x v="38"/>
    <x v="35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5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4"/>
    <x v="7"/>
    <x v="0"/>
    <x v="22"/>
    <x v="7"/>
    <x v="2"/>
    <x v="9"/>
    <x v="3"/>
    <x v="9"/>
    <x v="4"/>
    <x v="2"/>
    <x v="1"/>
    <x v="3"/>
    <x v="9"/>
    <x v="37"/>
    <x v="122"/>
    <x v="109"/>
    <x v="84"/>
    <x v="76"/>
    <x v="79"/>
    <x v="38"/>
    <x v="36"/>
    <x v="36"/>
    <x v="26"/>
    <x v="3"/>
    <x v="5"/>
    <x v="14"/>
    <x v="2"/>
    <x v="0"/>
    <x v="0"/>
    <x v="145"/>
    <x v="131"/>
    <x v="90"/>
    <x v="84"/>
    <x v="39"/>
    <x v="38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177"/>
    <x v="25"/>
    <x v="21"/>
    <x v="4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65"/>
    <x v="11"/>
    <x v="0"/>
    <x v="22"/>
    <x v="7"/>
    <x v="2"/>
    <x v="9"/>
    <x v="3"/>
    <x v="9"/>
    <x v="4"/>
    <x v="2"/>
    <x v="1"/>
    <x v="3"/>
    <x v="9"/>
    <x v="35"/>
    <x v="111"/>
    <x v="88"/>
    <x v="85"/>
    <x v="86"/>
    <x v="85"/>
    <x v="51"/>
    <x v="53"/>
    <x v="36"/>
    <x v="26"/>
    <x v="3"/>
    <x v="5"/>
    <x v="14"/>
    <x v="2"/>
    <x v="0"/>
    <x v="0"/>
    <x v="128"/>
    <x v="117"/>
    <x v="105"/>
    <x v="102"/>
    <x v="44"/>
    <x v="67"/>
    <x v="0"/>
    <x v="0"/>
    <x v="0"/>
    <x v="17"/>
    <x v="0"/>
    <x v="5"/>
    <x v="0"/>
    <x v="0"/>
    <x v="0"/>
    <x v="0"/>
    <x v="0"/>
    <x v="1"/>
    <x v="1"/>
    <x v="17"/>
    <x v="2"/>
    <x v="15"/>
    <x v="0"/>
  </r>
  <r>
    <x v="53"/>
    <x v="13"/>
    <x v="29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6"/>
    <x v="12"/>
    <x v="0"/>
    <x v="22"/>
    <x v="7"/>
    <x v="2"/>
    <x v="9"/>
    <x v="3"/>
    <x v="10"/>
    <x v="4"/>
    <x v="2"/>
    <x v="0"/>
    <x v="3"/>
    <x v="3"/>
    <x v="3"/>
    <x v="8"/>
    <x v="10"/>
    <x v="10"/>
    <x v="24"/>
    <x v="27"/>
    <x v="22"/>
    <x v="5"/>
    <x v="36"/>
    <x v="26"/>
    <x v="3"/>
    <x v="5"/>
    <x v="14"/>
    <x v="2"/>
    <x v="0"/>
    <x v="0"/>
    <x v="37"/>
    <x v="47"/>
    <x v="39"/>
    <x v="95"/>
    <x v="132"/>
    <x v="107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4"/>
    <x v="13"/>
    <x v="29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7"/>
    <x v="15"/>
    <x v="0"/>
    <x v="22"/>
    <x v="7"/>
    <x v="2"/>
    <x v="9"/>
    <x v="3"/>
    <x v="10"/>
    <x v="4"/>
    <x v="2"/>
    <x v="0"/>
    <x v="3"/>
    <x v="3"/>
    <x v="3"/>
    <x v="3"/>
    <x v="7"/>
    <x v="7"/>
    <x v="22"/>
    <x v="28"/>
    <x v="24"/>
    <x v="7"/>
    <x v="36"/>
    <x v="26"/>
    <x v="3"/>
    <x v="5"/>
    <x v="14"/>
    <x v="2"/>
    <x v="0"/>
    <x v="0"/>
    <x v="26"/>
    <x v="30"/>
    <x v="32"/>
    <x v="89"/>
    <x v="140"/>
    <x v="10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5"/>
    <x v="13"/>
    <x v="29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8"/>
    <x v="16"/>
    <x v="0"/>
    <x v="22"/>
    <x v="7"/>
    <x v="2"/>
    <x v="9"/>
    <x v="3"/>
    <x v="10"/>
    <x v="4"/>
    <x v="2"/>
    <x v="0"/>
    <x v="3"/>
    <x v="3"/>
    <x v="3"/>
    <x v="2"/>
    <x v="4"/>
    <x v="5"/>
    <x v="21"/>
    <x v="29"/>
    <x v="25"/>
    <x v="8"/>
    <x v="36"/>
    <x v="26"/>
    <x v="3"/>
    <x v="5"/>
    <x v="14"/>
    <x v="2"/>
    <x v="0"/>
    <x v="0"/>
    <x v="21"/>
    <x v="19"/>
    <x v="28"/>
    <x v="82"/>
    <x v="149"/>
    <x v="109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6"/>
    <x v="13"/>
    <x v="29"/>
    <x v="19"/>
    <x v="2"/>
    <x v="1"/>
    <x v="1"/>
    <x v="5"/>
    <x v="10"/>
    <x v="8"/>
    <x v="1"/>
    <x v="3"/>
    <x v="7"/>
    <x v="7"/>
    <x v="10"/>
    <x v="8"/>
    <x v="2"/>
    <x v="3"/>
    <x v="3"/>
    <x v="1"/>
    <x v="10"/>
    <x v="10"/>
    <x v="169"/>
    <x v="18"/>
    <x v="0"/>
    <x v="22"/>
    <x v="7"/>
    <x v="2"/>
    <x v="9"/>
    <x v="3"/>
    <x v="10"/>
    <x v="4"/>
    <x v="2"/>
    <x v="0"/>
    <x v="3"/>
    <x v="3"/>
    <x v="3"/>
    <x v="1"/>
    <x v="1"/>
    <x v="1"/>
    <x v="5"/>
    <x v="32"/>
    <x v="29"/>
    <x v="9"/>
    <x v="36"/>
    <x v="26"/>
    <x v="3"/>
    <x v="5"/>
    <x v="14"/>
    <x v="2"/>
    <x v="0"/>
    <x v="0"/>
    <x v="5"/>
    <x v="6"/>
    <x v="6"/>
    <x v="17"/>
    <x v="155"/>
    <x v="113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0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0"/>
    <x v="4"/>
    <x v="0"/>
    <x v="22"/>
    <x v="7"/>
    <x v="2"/>
    <x v="9"/>
    <x v="3"/>
    <x v="10"/>
    <x v="4"/>
    <x v="2"/>
    <x v="0"/>
    <x v="3"/>
    <x v="3"/>
    <x v="3"/>
    <x v="27"/>
    <x v="38"/>
    <x v="24"/>
    <x v="9"/>
    <x v="12"/>
    <x v="4"/>
    <x v="0"/>
    <x v="36"/>
    <x v="26"/>
    <x v="3"/>
    <x v="5"/>
    <x v="14"/>
    <x v="2"/>
    <x v="0"/>
    <x v="0"/>
    <x v="93"/>
    <x v="155"/>
    <x v="80"/>
    <x v="36"/>
    <x v="90"/>
    <x v="16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1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1"/>
    <x v="6"/>
    <x v="0"/>
    <x v="22"/>
    <x v="7"/>
    <x v="2"/>
    <x v="9"/>
    <x v="3"/>
    <x v="10"/>
    <x v="4"/>
    <x v="2"/>
    <x v="0"/>
    <x v="3"/>
    <x v="3"/>
    <x v="3"/>
    <x v="21"/>
    <x v="32"/>
    <x v="23"/>
    <x v="8"/>
    <x v="19"/>
    <x v="9"/>
    <x v="0"/>
    <x v="36"/>
    <x v="26"/>
    <x v="3"/>
    <x v="5"/>
    <x v="14"/>
    <x v="2"/>
    <x v="0"/>
    <x v="0"/>
    <x v="74"/>
    <x v="140"/>
    <x v="78"/>
    <x v="30"/>
    <x v="103"/>
    <x v="4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2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2"/>
    <x v="7"/>
    <x v="0"/>
    <x v="22"/>
    <x v="7"/>
    <x v="2"/>
    <x v="9"/>
    <x v="3"/>
    <x v="10"/>
    <x v="4"/>
    <x v="2"/>
    <x v="0"/>
    <x v="3"/>
    <x v="3"/>
    <x v="3"/>
    <x v="14"/>
    <x v="26"/>
    <x v="32"/>
    <x v="13"/>
    <x v="23"/>
    <x v="12"/>
    <x v="0"/>
    <x v="36"/>
    <x v="26"/>
    <x v="3"/>
    <x v="5"/>
    <x v="14"/>
    <x v="2"/>
    <x v="0"/>
    <x v="0"/>
    <x v="44"/>
    <x v="115"/>
    <x v="103"/>
    <x v="49"/>
    <x v="113"/>
    <x v="45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3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3"/>
    <x v="10"/>
    <x v="0"/>
    <x v="22"/>
    <x v="7"/>
    <x v="2"/>
    <x v="9"/>
    <x v="3"/>
    <x v="10"/>
    <x v="4"/>
    <x v="2"/>
    <x v="0"/>
    <x v="3"/>
    <x v="3"/>
    <x v="3"/>
    <x v="7"/>
    <x v="14"/>
    <x v="29"/>
    <x v="11"/>
    <x v="30"/>
    <x v="20"/>
    <x v="0"/>
    <x v="36"/>
    <x v="26"/>
    <x v="3"/>
    <x v="5"/>
    <x v="14"/>
    <x v="2"/>
    <x v="0"/>
    <x v="0"/>
    <x v="31"/>
    <x v="58"/>
    <x v="98"/>
    <x v="47"/>
    <x v="134"/>
    <x v="81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4"/>
    <x v="19"/>
    <x v="19"/>
    <x v="12"/>
    <x v="2"/>
    <x v="1"/>
    <x v="1"/>
    <x v="4"/>
    <x v="6"/>
    <x v="4"/>
    <x v="1"/>
    <x v="3"/>
    <x v="7"/>
    <x v="7"/>
    <x v="7"/>
    <x v="4"/>
    <x v="2"/>
    <x v="2"/>
    <x v="2"/>
    <x v="1"/>
    <x v="10"/>
    <x v="10"/>
    <x v="174"/>
    <x v="12"/>
    <x v="0"/>
    <x v="22"/>
    <x v="7"/>
    <x v="2"/>
    <x v="9"/>
    <x v="3"/>
    <x v="10"/>
    <x v="4"/>
    <x v="2"/>
    <x v="0"/>
    <x v="3"/>
    <x v="3"/>
    <x v="3"/>
    <x v="16"/>
    <x v="20"/>
    <x v="26"/>
    <x v="12"/>
    <x v="26"/>
    <x v="18"/>
    <x v="0"/>
    <x v="36"/>
    <x v="26"/>
    <x v="3"/>
    <x v="5"/>
    <x v="14"/>
    <x v="2"/>
    <x v="0"/>
    <x v="0"/>
    <x v="51"/>
    <x v="94"/>
    <x v="87"/>
    <x v="48"/>
    <x v="120"/>
    <x v="69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9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5"/>
    <x v="3"/>
    <x v="0"/>
    <x v="22"/>
    <x v="7"/>
    <x v="2"/>
    <x v="9"/>
    <x v="3"/>
    <x v="10"/>
    <x v="4"/>
    <x v="2"/>
    <x v="0"/>
    <x v="3"/>
    <x v="3"/>
    <x v="3"/>
    <x v="39"/>
    <x v="25"/>
    <x v="12"/>
    <x v="14"/>
    <x v="11"/>
    <x v="2"/>
    <x v="0"/>
    <x v="36"/>
    <x v="26"/>
    <x v="3"/>
    <x v="5"/>
    <x v="14"/>
    <x v="2"/>
    <x v="0"/>
    <x v="0"/>
    <x v="130"/>
    <x v="114"/>
    <x v="38"/>
    <x v="57"/>
    <x v="84"/>
    <x v="12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0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6"/>
    <x v="6"/>
    <x v="0"/>
    <x v="22"/>
    <x v="7"/>
    <x v="2"/>
    <x v="9"/>
    <x v="3"/>
    <x v="10"/>
    <x v="4"/>
    <x v="2"/>
    <x v="0"/>
    <x v="3"/>
    <x v="3"/>
    <x v="3"/>
    <x v="31"/>
    <x v="28"/>
    <x v="15"/>
    <x v="17"/>
    <x v="15"/>
    <x v="7"/>
    <x v="0"/>
    <x v="36"/>
    <x v="26"/>
    <x v="3"/>
    <x v="5"/>
    <x v="14"/>
    <x v="2"/>
    <x v="0"/>
    <x v="0"/>
    <x v="110"/>
    <x v="119"/>
    <x v="45"/>
    <x v="59"/>
    <x v="98"/>
    <x v="3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1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7"/>
    <x v="9"/>
    <x v="0"/>
    <x v="22"/>
    <x v="7"/>
    <x v="2"/>
    <x v="9"/>
    <x v="3"/>
    <x v="10"/>
    <x v="4"/>
    <x v="2"/>
    <x v="0"/>
    <x v="3"/>
    <x v="3"/>
    <x v="3"/>
    <x v="24"/>
    <x v="23"/>
    <x v="17"/>
    <x v="18"/>
    <x v="25"/>
    <x v="10"/>
    <x v="0"/>
    <x v="36"/>
    <x v="26"/>
    <x v="3"/>
    <x v="5"/>
    <x v="14"/>
    <x v="2"/>
    <x v="0"/>
    <x v="0"/>
    <x v="84"/>
    <x v="105"/>
    <x v="50"/>
    <x v="60"/>
    <x v="119"/>
    <x v="43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52"/>
    <x v="8"/>
    <x v="26"/>
    <x v="10"/>
    <x v="2"/>
    <x v="1"/>
    <x v="1"/>
    <x v="4"/>
    <x v="9"/>
    <x v="10"/>
    <x v="1"/>
    <x v="3"/>
    <x v="7"/>
    <x v="7"/>
    <x v="9"/>
    <x v="10"/>
    <x v="1"/>
    <x v="2"/>
    <x v="2"/>
    <x v="1"/>
    <x v="6"/>
    <x v="3"/>
    <x v="178"/>
    <x v="12"/>
    <x v="0"/>
    <x v="22"/>
    <x v="7"/>
    <x v="2"/>
    <x v="9"/>
    <x v="3"/>
    <x v="10"/>
    <x v="4"/>
    <x v="2"/>
    <x v="0"/>
    <x v="3"/>
    <x v="3"/>
    <x v="3"/>
    <x v="19"/>
    <x v="18"/>
    <x v="18"/>
    <x v="15"/>
    <x v="31"/>
    <x v="13"/>
    <x v="0"/>
    <x v="36"/>
    <x v="26"/>
    <x v="3"/>
    <x v="5"/>
    <x v="14"/>
    <x v="2"/>
    <x v="0"/>
    <x v="0"/>
    <x v="56"/>
    <x v="74"/>
    <x v="52"/>
    <x v="58"/>
    <x v="135"/>
    <x v="53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9"/>
    <x v="7"/>
    <x v="18"/>
    <x v="15"/>
    <x v="0"/>
    <x v="0"/>
    <x v="0"/>
    <x v="0"/>
    <x v="0"/>
    <x v="0"/>
    <x v="1"/>
    <x v="1"/>
    <x v="1"/>
    <x v="1"/>
    <x v="1"/>
    <x v="1"/>
    <x v="8"/>
    <x v="8"/>
    <x v="8"/>
    <x v="2"/>
    <x v="10"/>
    <x v="10"/>
    <x v="179"/>
    <x v="4"/>
    <x v="0"/>
    <x v="22"/>
    <x v="7"/>
    <x v="2"/>
    <x v="9"/>
    <x v="3"/>
    <x v="10"/>
    <x v="4"/>
    <x v="2"/>
    <x v="0"/>
    <x v="3"/>
    <x v="3"/>
    <x v="3"/>
    <x v="30"/>
    <x v="37"/>
    <x v="27"/>
    <x v="29"/>
    <x v="2"/>
    <x v="28"/>
    <x v="0"/>
    <x v="36"/>
    <x v="26"/>
    <x v="3"/>
    <x v="5"/>
    <x v="14"/>
    <x v="2"/>
    <x v="0"/>
    <x v="0"/>
    <x v="104"/>
    <x v="154"/>
    <x v="89"/>
    <x v="101"/>
    <x v="34"/>
    <x v="111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5"/>
    <x v="6"/>
    <x v="20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0"/>
    <x v="1"/>
    <x v="0"/>
    <x v="22"/>
    <x v="7"/>
    <x v="2"/>
    <x v="9"/>
    <x v="3"/>
    <x v="10"/>
    <x v="4"/>
    <x v="2"/>
    <x v="0"/>
    <x v="3"/>
    <x v="3"/>
    <x v="3"/>
    <x v="47"/>
    <x v="29"/>
    <x v="9"/>
    <x v="7"/>
    <x v="4"/>
    <x v="6"/>
    <x v="0"/>
    <x v="36"/>
    <x v="26"/>
    <x v="3"/>
    <x v="5"/>
    <x v="14"/>
    <x v="2"/>
    <x v="0"/>
    <x v="0"/>
    <x v="154"/>
    <x v="122"/>
    <x v="37"/>
    <x v="26"/>
    <x v="53"/>
    <x v="19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6"/>
    <x v="6"/>
    <x v="20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1"/>
    <x v="4"/>
    <x v="0"/>
    <x v="22"/>
    <x v="7"/>
    <x v="2"/>
    <x v="9"/>
    <x v="3"/>
    <x v="10"/>
    <x v="4"/>
    <x v="2"/>
    <x v="0"/>
    <x v="3"/>
    <x v="3"/>
    <x v="3"/>
    <x v="44"/>
    <x v="34"/>
    <x v="14"/>
    <x v="10"/>
    <x v="5"/>
    <x v="14"/>
    <x v="0"/>
    <x v="36"/>
    <x v="26"/>
    <x v="3"/>
    <x v="5"/>
    <x v="14"/>
    <x v="2"/>
    <x v="0"/>
    <x v="0"/>
    <x v="143"/>
    <x v="143"/>
    <x v="44"/>
    <x v="43"/>
    <x v="54"/>
    <x v="5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7"/>
    <x v="6"/>
    <x v="20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2"/>
    <x v="7"/>
    <x v="0"/>
    <x v="22"/>
    <x v="7"/>
    <x v="2"/>
    <x v="9"/>
    <x v="3"/>
    <x v="10"/>
    <x v="4"/>
    <x v="2"/>
    <x v="0"/>
    <x v="3"/>
    <x v="3"/>
    <x v="3"/>
    <x v="41"/>
    <x v="35"/>
    <x v="16"/>
    <x v="20"/>
    <x v="6"/>
    <x v="19"/>
    <x v="0"/>
    <x v="36"/>
    <x v="26"/>
    <x v="3"/>
    <x v="5"/>
    <x v="14"/>
    <x v="2"/>
    <x v="0"/>
    <x v="0"/>
    <x v="137"/>
    <x v="145"/>
    <x v="46"/>
    <x v="72"/>
    <x v="61"/>
    <x v="7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48"/>
    <x v="6"/>
    <x v="7"/>
    <x v="5"/>
    <x v="2"/>
    <x v="1"/>
    <x v="1"/>
    <x v="4"/>
    <x v="9"/>
    <x v="5"/>
    <x v="1"/>
    <x v="3"/>
    <x v="7"/>
    <x v="7"/>
    <x v="9"/>
    <x v="5"/>
    <x v="1"/>
    <x v="2"/>
    <x v="2"/>
    <x v="1"/>
    <x v="6"/>
    <x v="3"/>
    <x v="183"/>
    <x v="11"/>
    <x v="0"/>
    <x v="22"/>
    <x v="7"/>
    <x v="2"/>
    <x v="9"/>
    <x v="3"/>
    <x v="10"/>
    <x v="4"/>
    <x v="2"/>
    <x v="0"/>
    <x v="3"/>
    <x v="3"/>
    <x v="3"/>
    <x v="37"/>
    <x v="36"/>
    <x v="19"/>
    <x v="19"/>
    <x v="7"/>
    <x v="21"/>
    <x v="0"/>
    <x v="36"/>
    <x v="26"/>
    <x v="3"/>
    <x v="5"/>
    <x v="14"/>
    <x v="2"/>
    <x v="0"/>
    <x v="0"/>
    <x v="126"/>
    <x v="147"/>
    <x v="54"/>
    <x v="69"/>
    <x v="62"/>
    <x v="8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5"/>
    <x v="31"/>
    <x v="7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4"/>
    <x v="1"/>
    <x v="0"/>
    <x v="22"/>
    <x v="7"/>
    <x v="2"/>
    <x v="9"/>
    <x v="3"/>
    <x v="10"/>
    <x v="4"/>
    <x v="2"/>
    <x v="0"/>
    <x v="3"/>
    <x v="3"/>
    <x v="3"/>
    <x v="46"/>
    <x v="13"/>
    <x v="2"/>
    <x v="6"/>
    <x v="10"/>
    <x v="0"/>
    <x v="0"/>
    <x v="36"/>
    <x v="26"/>
    <x v="3"/>
    <x v="5"/>
    <x v="14"/>
    <x v="2"/>
    <x v="0"/>
    <x v="0"/>
    <x v="152"/>
    <x v="54"/>
    <x v="12"/>
    <x v="15"/>
    <x v="73"/>
    <x v="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6"/>
    <x v="31"/>
    <x v="7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5"/>
    <x v="2"/>
    <x v="0"/>
    <x v="22"/>
    <x v="7"/>
    <x v="2"/>
    <x v="9"/>
    <x v="3"/>
    <x v="10"/>
    <x v="4"/>
    <x v="2"/>
    <x v="0"/>
    <x v="3"/>
    <x v="3"/>
    <x v="3"/>
    <x v="43"/>
    <x v="8"/>
    <x v="3"/>
    <x v="1"/>
    <x v="18"/>
    <x v="1"/>
    <x v="1"/>
    <x v="36"/>
    <x v="26"/>
    <x v="3"/>
    <x v="5"/>
    <x v="14"/>
    <x v="2"/>
    <x v="0"/>
    <x v="0"/>
    <x v="142"/>
    <x v="37"/>
    <x v="13"/>
    <x v="6"/>
    <x v="101"/>
    <x v="10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7"/>
    <x v="31"/>
    <x v="7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6"/>
    <x v="4"/>
    <x v="0"/>
    <x v="22"/>
    <x v="7"/>
    <x v="2"/>
    <x v="9"/>
    <x v="3"/>
    <x v="10"/>
    <x v="4"/>
    <x v="2"/>
    <x v="0"/>
    <x v="3"/>
    <x v="3"/>
    <x v="3"/>
    <x v="36"/>
    <x v="12"/>
    <x v="6"/>
    <x v="3"/>
    <x v="21"/>
    <x v="5"/>
    <x v="2"/>
    <x v="36"/>
    <x v="26"/>
    <x v="3"/>
    <x v="5"/>
    <x v="14"/>
    <x v="2"/>
    <x v="0"/>
    <x v="0"/>
    <x v="124"/>
    <x v="53"/>
    <x v="29"/>
    <x v="8"/>
    <x v="110"/>
    <x v="18"/>
    <x v="0"/>
    <x v="0"/>
    <x v="0"/>
    <x v="4"/>
    <x v="1"/>
    <x v="6"/>
    <x v="0"/>
    <x v="0"/>
    <x v="0"/>
    <x v="0"/>
    <x v="0"/>
    <x v="1"/>
    <x v="1"/>
    <x v="4"/>
    <x v="4"/>
    <x v="17"/>
    <x v="1"/>
  </r>
  <r>
    <x v="38"/>
    <x v="31"/>
    <x v="7"/>
    <x v="2"/>
    <x v="2"/>
    <x v="0"/>
    <x v="0"/>
    <x v="0"/>
    <x v="1"/>
    <x v="1"/>
    <x v="1"/>
    <x v="0"/>
    <x v="0"/>
    <x v="0"/>
    <x v="0"/>
    <x v="0"/>
    <x v="1"/>
    <x v="2"/>
    <x v="2"/>
    <x v="1"/>
    <x v="5"/>
    <x v="0"/>
    <x v="187"/>
    <x v="6"/>
    <x v="0"/>
    <x v="22"/>
    <x v="7"/>
    <x v="2"/>
    <x v="9"/>
    <x v="3"/>
    <x v="10"/>
    <x v="4"/>
    <x v="2"/>
    <x v="0"/>
    <x v="3"/>
    <x v="3"/>
    <x v="3"/>
    <x v="40"/>
    <x v="9"/>
    <x v="4"/>
    <x v="2"/>
    <x v="22"/>
    <x v="3"/>
    <x v="3"/>
    <x v="36"/>
    <x v="26"/>
    <x v="3"/>
    <x v="5"/>
    <x v="14"/>
    <x v="2"/>
    <x v="0"/>
    <x v="0"/>
    <x v="132"/>
    <x v="41"/>
    <x v="15"/>
    <x v="7"/>
    <x v="111"/>
    <x v="15"/>
    <x v="0"/>
    <x v="0"/>
    <x v="0"/>
    <x v="4"/>
    <x v="1"/>
    <x v="6"/>
    <x v="0"/>
    <x v="0"/>
    <x v="0"/>
    <x v="0"/>
    <x v="0"/>
    <x v="1"/>
    <x v="1"/>
    <x v="4"/>
    <x v="4"/>
    <x v="17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4:D41" firstHeaderRow="1" firstDataRow="1" firstDataCol="3" rowPageCount="2" colPageCount="1"/>
  <pivotFields count="75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1"/>
        <item x="2"/>
        <item x="4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5"/>
        <item x="6"/>
        <item x="7"/>
        <item x="8"/>
        <item x="9"/>
        <item x="10"/>
        <item x="1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13"/>
    <field x="5"/>
    <field x="6"/>
  </rowFields>
  <pageFields count="2">
    <pageField fld="23" hier="-1"/>
    <pageField fld="24" hier="-1"/>
  </pageFields>
  <dataFields count="1">
    <dataField name="Count of sampleName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10" firstHeaderRow="1" firstDataRow="2" firstDataCol="1"/>
  <pivotFields count="7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2"/>
  </rowFields>
  <colFields count="1">
    <field x="24"/>
  </col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BW217" headerRowCount="1" totalsRowCount="0" totalsRowShown="0">
  <autoFilter ref="A1:BW217"/>
  <tableColumns count="75">
    <tableColumn id="1" name="sampleName"/>
    <tableColumn id="2" name="Strains"/>
    <tableColumn id="3" name="organism_reported_names"/>
    <tableColumn id="4" name="phyloT_order"/>
    <tableColumn id="5" name="GTDB_phylum"/>
    <tableColumn id="6" name="GTDB_class"/>
    <tableColumn id="7" name="GTDB_order"/>
    <tableColumn id="8" name="GTDB_family"/>
    <tableColumn id="9" name="GTDB_genus"/>
    <tableColumn id="10" name="GTDB_species"/>
    <tableColumn id="11" name="NCBI_phylum"/>
    <tableColumn id="12" name="NCBI_class"/>
    <tableColumn id="13" name="NCBI_order"/>
    <tableColumn id="14" name="NCBI_family"/>
    <tableColumn id="15" name="NCBI_genus"/>
    <tableColumn id="16" name="NCBI_species"/>
    <tableColumn id="17" name="organism_broadClass"/>
    <tableColumn id="18" name="organism_broadClass2"/>
    <tableColumn id="19" name="organism_broadClass3"/>
    <tableColumn id="20" name="organism_genomes_combined_WGS_PGS"/>
    <tableColumn id="21" name="isolate_from"/>
    <tableColumn id="22" name="geographic_location"/>
    <tableColumn id="23" name="sampleID_new"/>
    <tableColumn id="24" name="reported_Temp"/>
    <tableColumn id="25" name="reported_Salinity"/>
    <tableColumn id="26" name="reported_pH"/>
    <tableColumn id="27" name="reported_oxy_micromolar"/>
    <tableColumn id="28" name="reported_ammonium"/>
    <tableColumn id="29" name="reported_ionicStrength"/>
    <tableColumn id="30" name="reported_AOR_umol_NO2_l_d"/>
    <tableColumn id="31" name="reported_growthPhase_growthRate"/>
    <tableColumn id="32" name="experiment_setup"/>
    <tableColumn id="33" name="Broad Filtration Class"/>
    <tableColumn id="34" name="Lipid Extractions"/>
    <tableColumn id="35" name="Filter pore size"/>
    <tableColumn id="36" name="LCMS_instrumentation"/>
    <tableColumn id="37" name="sum_reported_fractions"/>
    <tableColumn id="38" name="reported_1302"/>
    <tableColumn id="39" name="reported_1300"/>
    <tableColumn id="40" name="reported_1298"/>
    <tableColumn id="41" name="reported_1296"/>
    <tableColumn id="42" name="reported_1292"/>
    <tableColumn id="43" name="reported_1292_iso"/>
    <tableColumn id="44" name="reported_1294"/>
    <tableColumn id="45" name="reported_1290"/>
    <tableColumn id="46" name="reported_1288"/>
    <tableColumn id="47" name="reported_1286"/>
    <tableColumn id="48" name="reported_1292_iso2"/>
    <tableColumn id="49" name="reported_1294_iso"/>
    <tableColumn id="50" name="reported_1290_iso"/>
    <tableColumn id="51" name="reported_1288_iso"/>
    <tableColumn id="52" name="reported_1286_iso"/>
    <tableColumn id="53" name="fGDGT_0"/>
    <tableColumn id="54" name="fGDGT_1"/>
    <tableColumn id="55" name="fGDGT_2"/>
    <tableColumn id="56" name="fGDGT_3"/>
    <tableColumn id="57" name="fGDGT_cren"/>
    <tableColumn id="58" name="fGDGT_cren_prime"/>
    <tableColumn id="59" name="BITindex"/>
    <tableColumn id="60" name="dataType_level0"/>
    <tableColumn id="61" name="dataType_level1"/>
    <tableColumn id="62" name="Source"/>
    <tableColumn id="63" name="short_remark"/>
    <tableColumn id="64" name="full_remark"/>
    <tableColumn id="65" name="duplicate_Datasets"/>
    <tableColumn id="66" name="incomplete_GDGT_fractions"/>
    <tableColumn id="67" name="BIT_QC_above05"/>
    <tableColumn id="68" name="gdgt0Cren_QC_above07"/>
    <tableColumn id="69" name="MI_QC_above05"/>
    <tableColumn id="70" name="QC_Indices_check"/>
    <tableColumn id="71" name="detectionLimit_check"/>
    <tableColumn id="72" name="Source2"/>
    <tableColumn id="73" name="firstAuthor_firstName"/>
    <tableColumn id="74" name="DOI"/>
    <tableColumn id="75" name="Taxonomy data upda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i.org/10.1073/pnas.1501568112" TargetMode="External"/><Relationship Id="rId2" Type="http://schemas.openxmlformats.org/officeDocument/2006/relationships/hyperlink" Target="https://doi.org/10.1016/j.gca.2015.09.004" TargetMode="External"/><Relationship Id="rId3" Type="http://schemas.openxmlformats.org/officeDocument/2006/relationships/hyperlink" Target="https://doi.org/10.1128/AEM.02758-10" TargetMode="External"/><Relationship Id="rId4" Type="http://schemas.openxmlformats.org/officeDocument/2006/relationships/hyperlink" Target="https://doi.org/10.1016/j.gca.2015.09.004" TargetMode="External"/><Relationship Id="rId5" Type="http://schemas.openxmlformats.org/officeDocument/2006/relationships/hyperlink" Target="https://doi.org/10.1128/AEM.02758-10" TargetMode="External"/><Relationship Id="rId6" Type="http://schemas.openxmlformats.org/officeDocument/2006/relationships/hyperlink" Target="https://doi.org/10.1128/AEM.02758-10" TargetMode="External"/><Relationship Id="rId7" Type="http://schemas.openxmlformats.org/officeDocument/2006/relationships/hyperlink" Target="https://doi.org/10.1128/AEM.01681-12" TargetMode="External"/><Relationship Id="rId8" Type="http://schemas.openxmlformats.org/officeDocument/2006/relationships/hyperlink" Target="https://doi.org/10.1111/1462-2920.13759" TargetMode="External"/><Relationship Id="rId9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oi.org/10.1016/j.gca.2015.09.004" TargetMode="External"/><Relationship Id="rId3" Type="http://schemas.openxmlformats.org/officeDocument/2006/relationships/hyperlink" Target="https://doi.org/10.1016/j.gca.2015.09.004" TargetMode="External"/><Relationship Id="rId4" Type="http://schemas.openxmlformats.org/officeDocument/2006/relationships/hyperlink" Target="https://doi.org/10.1016/j.gca.2015.09.004" TargetMode="External"/><Relationship Id="rId5" Type="http://schemas.openxmlformats.org/officeDocument/2006/relationships/hyperlink" Target="https://doi.org/10.1016/j.gca.2015.09.004" TargetMode="External"/><Relationship Id="rId6" Type="http://schemas.openxmlformats.org/officeDocument/2006/relationships/hyperlink" Target="https://doi.org/10.1016/j.gca.2015.09.004" TargetMode="External"/><Relationship Id="rId7" Type="http://schemas.openxmlformats.org/officeDocument/2006/relationships/hyperlink" Target="https://doi.org/10.1016/j.gca.2015.09.004" TargetMode="External"/><Relationship Id="rId8" Type="http://schemas.openxmlformats.org/officeDocument/2006/relationships/hyperlink" Target="https://doi.org/10.1016/j.gca.2015.09.004" TargetMode="External"/><Relationship Id="rId9" Type="http://schemas.openxmlformats.org/officeDocument/2006/relationships/hyperlink" Target="https://doi.org/10.1016/j.gca.2015.09.004" TargetMode="External"/><Relationship Id="rId10" Type="http://schemas.openxmlformats.org/officeDocument/2006/relationships/hyperlink" Target="https://doi.org/10.1016/j.gca.2015.09.004" TargetMode="External"/><Relationship Id="rId11" Type="http://schemas.openxmlformats.org/officeDocument/2006/relationships/hyperlink" Target="https://doi.org/10.1016/j.gca.2015.09.004" TargetMode="External"/><Relationship Id="rId12" Type="http://schemas.openxmlformats.org/officeDocument/2006/relationships/hyperlink" Target="https://doi.org/10.1016/j.palaeo.2013.09.013" TargetMode="External"/><Relationship Id="rId13" Type="http://schemas.openxmlformats.org/officeDocument/2006/relationships/hyperlink" Target="https://doi.org/10.1016/j.palaeo.2013.09.013" TargetMode="External"/><Relationship Id="rId14" Type="http://schemas.openxmlformats.org/officeDocument/2006/relationships/hyperlink" Target="https://doi.org/10.1016/j.palaeo.2013.09.013" TargetMode="External"/><Relationship Id="rId15" Type="http://schemas.openxmlformats.org/officeDocument/2006/relationships/hyperlink" Target="https://doi.org/10.1016/j.palaeo.2013.09.013" TargetMode="External"/><Relationship Id="rId16" Type="http://schemas.openxmlformats.org/officeDocument/2006/relationships/hyperlink" Target="https://doi.org/10.1016/j.palaeo.2013.09.013" TargetMode="External"/><Relationship Id="rId17" Type="http://schemas.openxmlformats.org/officeDocument/2006/relationships/hyperlink" Target="https://doi.org/10.1016/j.palaeo.2013.09.013" TargetMode="External"/><Relationship Id="rId18" Type="http://schemas.openxmlformats.org/officeDocument/2006/relationships/hyperlink" Target="https://doi.org/10.1016/j.palaeo.2013.09.013" TargetMode="External"/><Relationship Id="rId19" Type="http://schemas.openxmlformats.org/officeDocument/2006/relationships/hyperlink" Target="https://doi.org/10.1016/j.palaeo.2013.09.013" TargetMode="External"/><Relationship Id="rId20" Type="http://schemas.openxmlformats.org/officeDocument/2006/relationships/hyperlink" Target="https://doi.org/10.1016/j.gca.2018.09.001" TargetMode="External"/><Relationship Id="rId21" Type="http://schemas.openxmlformats.org/officeDocument/2006/relationships/hyperlink" Target="https://doi.org/10.1016/j.gca.2018.09.001" TargetMode="External"/><Relationship Id="rId22" Type="http://schemas.openxmlformats.org/officeDocument/2006/relationships/hyperlink" Target="https://doi.org/10.1016/j.gca.2018.09.001" TargetMode="External"/><Relationship Id="rId23" Type="http://schemas.openxmlformats.org/officeDocument/2006/relationships/hyperlink" Target="https://doi.org/10.1016/j.gca.2018.09.001" TargetMode="External"/><Relationship Id="rId24" Type="http://schemas.openxmlformats.org/officeDocument/2006/relationships/hyperlink" Target="https://doi.org/10.1016/j.gca.2018.09.001" TargetMode="External"/><Relationship Id="rId25" Type="http://schemas.openxmlformats.org/officeDocument/2006/relationships/hyperlink" Target="https://doi.org/10.1016/j.gca.2018.09.001" TargetMode="External"/><Relationship Id="rId26" Type="http://schemas.openxmlformats.org/officeDocument/2006/relationships/hyperlink" Target="https://doi.org/10.1016/j.gca.2018.09.001" TargetMode="External"/><Relationship Id="rId27" Type="http://schemas.openxmlformats.org/officeDocument/2006/relationships/hyperlink" Target="https://doi.org/10.1016/j.gca.2018.09.001" TargetMode="External"/><Relationship Id="rId28" Type="http://schemas.openxmlformats.org/officeDocument/2006/relationships/hyperlink" Target="https://doi.org/10.1016/j.gca.2018.09.001" TargetMode="External"/><Relationship Id="rId29" Type="http://schemas.openxmlformats.org/officeDocument/2006/relationships/hyperlink" Target="https://doi.org/10.1016/j.gca.2018.09.001" TargetMode="External"/><Relationship Id="rId30" Type="http://schemas.openxmlformats.org/officeDocument/2006/relationships/hyperlink" Target="https://doi.org/10.1016/j.gca.2018.09.001" TargetMode="External"/><Relationship Id="rId31" Type="http://schemas.openxmlformats.org/officeDocument/2006/relationships/hyperlink" Target="https://doi.org/10.1016/j.gca.2018.09.001" TargetMode="External"/><Relationship Id="rId32" Type="http://schemas.openxmlformats.org/officeDocument/2006/relationships/hyperlink" Target="https://doi.org/10.1016/j.gca.2018.09.001" TargetMode="External"/><Relationship Id="rId33" Type="http://schemas.openxmlformats.org/officeDocument/2006/relationships/hyperlink" Target="https://doi.org/10.1016/j.gca.2018.09.001" TargetMode="External"/><Relationship Id="rId34" Type="http://schemas.openxmlformats.org/officeDocument/2006/relationships/hyperlink" Target="https://doi.org/10.1016/j.gca.2018.09.001" TargetMode="External"/><Relationship Id="rId35" Type="http://schemas.openxmlformats.org/officeDocument/2006/relationships/hyperlink" Target="https://doi.org/10.1016/j.gca.2018.09.001" TargetMode="External"/><Relationship Id="rId36" Type="http://schemas.openxmlformats.org/officeDocument/2006/relationships/hyperlink" Target="https://doi.org/10.1016/j.gca.2018.09.001" TargetMode="External"/><Relationship Id="rId37" Type="http://schemas.openxmlformats.org/officeDocument/2006/relationships/hyperlink" Target="https://doi.org/10.1016/j.gca.2018.09.001" TargetMode="External"/><Relationship Id="rId38" Type="http://schemas.openxmlformats.org/officeDocument/2006/relationships/hyperlink" Target="https://doi.org/10.1016/j.gca.2018.09.001" TargetMode="External"/><Relationship Id="rId39" Type="http://schemas.openxmlformats.org/officeDocument/2006/relationships/hyperlink" Target="https://doi.org/10.1016/j.gca.2018.09.001" TargetMode="External"/><Relationship Id="rId40" Type="http://schemas.openxmlformats.org/officeDocument/2006/relationships/vmlDrawing" Target="../drawings/vmlDrawing1.vml"/><Relationship Id="rId4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.84"/>
    <col collapsed="false" customWidth="true" hidden="false" outlineLevel="0" max="3" min="3" style="1" width="12.15"/>
    <col collapsed="false" customWidth="true" hidden="false" outlineLevel="0" max="5" min="4" style="1" width="11.28"/>
  </cols>
  <sheetData>
    <row r="3" customFormat="false" ht="15" hidden="false" customHeight="false" outlineLevel="0" collapsed="false">
      <c r="A3" s="2" t="s">
        <v>0</v>
      </c>
      <c r="B3" s="3" t="s">
        <v>1</v>
      </c>
      <c r="C3" s="4"/>
    </row>
    <row r="4" customFormat="false" ht="15" hidden="false" customHeight="false" outlineLevel="0" collapsed="false">
      <c r="A4" s="5" t="s">
        <v>2</v>
      </c>
      <c r="B4" s="6" t="s">
        <v>0</v>
      </c>
      <c r="C4" s="7" t="s">
        <v>3</v>
      </c>
    </row>
    <row r="5" customFormat="false" ht="15" hidden="false" customHeight="false" outlineLevel="0" collapsed="false">
      <c r="A5" s="8" t="s">
        <v>4</v>
      </c>
      <c r="B5" s="9"/>
      <c r="C5" s="10"/>
    </row>
    <row r="6" customFormat="false" ht="15" hidden="false" customHeight="false" outlineLevel="0" collapsed="false">
      <c r="A6" s="11" t="s">
        <v>5</v>
      </c>
      <c r="B6" s="12"/>
      <c r="C6" s="13"/>
    </row>
    <row r="7" customFormat="false" ht="15" hidden="false" customHeight="false" outlineLevel="0" collapsed="false">
      <c r="A7" s="11" t="s">
        <v>6</v>
      </c>
      <c r="B7" s="12"/>
      <c r="C7" s="13"/>
    </row>
    <row r="8" customFormat="false" ht="15" hidden="false" customHeight="false" outlineLevel="0" collapsed="false">
      <c r="A8" s="11" t="s">
        <v>7</v>
      </c>
      <c r="B8" s="12"/>
      <c r="C8" s="13"/>
    </row>
    <row r="9" customFormat="false" ht="15" hidden="false" customHeight="false" outlineLevel="0" collapsed="false">
      <c r="A9" s="11" t="s">
        <v>8</v>
      </c>
      <c r="B9" s="14"/>
      <c r="C9" s="15"/>
    </row>
    <row r="10" customFormat="false" ht="15" hidden="false" customHeight="false" outlineLevel="0" collapsed="false">
      <c r="A10" s="16" t="s">
        <v>3</v>
      </c>
      <c r="B10" s="17"/>
      <c r="C10" s="18"/>
    </row>
    <row r="11" customFormat="false" ht="15" hidden="false" customHeight="false" outlineLevel="0" collapsed="false">
      <c r="A11" s="0"/>
      <c r="B11" s="0"/>
      <c r="C11" s="0"/>
    </row>
    <row r="12" customFormat="false" ht="15" hidden="false" customHeight="false" outlineLevel="0" collapsed="false">
      <c r="A12" s="0"/>
      <c r="B12" s="0"/>
      <c r="C12" s="0"/>
    </row>
    <row r="13" customFormat="false" ht="15" hidden="false" customHeight="false" outlineLevel="0" collapsed="false">
      <c r="A13" s="0"/>
      <c r="B13" s="0"/>
      <c r="C13" s="0"/>
    </row>
    <row r="14" customFormat="false" ht="15" hidden="false" customHeight="false" outlineLevel="0" collapsed="false">
      <c r="A14" s="0"/>
      <c r="B14" s="0"/>
      <c r="C14" s="0"/>
    </row>
    <row r="15" customFormat="false" ht="15" hidden="false" customHeight="false" outlineLevel="0" collapsed="false">
      <c r="A15" s="0"/>
      <c r="B15" s="0"/>
      <c r="C15" s="0"/>
    </row>
    <row r="16" customFormat="false" ht="15" hidden="false" customHeight="false" outlineLevel="0" collapsed="false">
      <c r="A16" s="0"/>
      <c r="B16" s="0"/>
      <c r="C16" s="0"/>
    </row>
    <row r="17" customFormat="false" ht="15" hidden="false" customHeight="false" outlineLevel="0" collapsed="false">
      <c r="A17" s="0"/>
      <c r="B17" s="0"/>
      <c r="C17" s="0"/>
    </row>
    <row r="18" customFormat="false" ht="15" hidden="false" customHeight="false" outlineLevel="0" collapsed="false">
      <c r="A18" s="0"/>
      <c r="B18" s="0"/>
      <c r="C18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3" activeCellId="0" sqref="B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86"/>
    <col collapsed="false" customWidth="true" hidden="false" outlineLevel="0" max="2" min="2" style="1" width="21.57"/>
  </cols>
  <sheetData>
    <row r="1" customFormat="false" ht="15" hidden="false" customHeight="false" outlineLevel="0" collapsed="false">
      <c r="A1" s="19" t="s">
        <v>9</v>
      </c>
      <c r="B1" s="20" t="s">
        <v>10</v>
      </c>
    </row>
    <row r="2" customFormat="false" ht="15" hidden="false" customHeight="false" outlineLevel="0" collapsed="false">
      <c r="A2" s="19" t="s">
        <v>1</v>
      </c>
      <c r="B2" s="20" t="s">
        <v>10</v>
      </c>
    </row>
    <row r="3" customFormat="false" ht="15" hidden="false" customHeight="false" outlineLevel="0" collapsed="false">
      <c r="A3" s="0"/>
      <c r="B3" s="0"/>
    </row>
    <row r="4" customFormat="false" ht="15" hidden="false" customHeight="false" outlineLevel="0" collapsed="false">
      <c r="A4" s="21" t="s">
        <v>11</v>
      </c>
      <c r="B4" s="3" t="s">
        <v>12</v>
      </c>
      <c r="C4" s="3" t="s">
        <v>13</v>
      </c>
      <c r="D4" s="22" t="s">
        <v>14</v>
      </c>
    </row>
    <row r="5" customFormat="false" ht="15" hidden="false" customHeight="false" outlineLevel="0" collapsed="false">
      <c r="A5" s="8" t="s">
        <v>15</v>
      </c>
      <c r="B5" s="23"/>
      <c r="C5" s="24"/>
      <c r="D5" s="25" t="n">
        <v>4</v>
      </c>
    </row>
    <row r="6" customFormat="false" ht="15" hidden="false" customHeight="false" outlineLevel="0" collapsed="false">
      <c r="A6" s="11"/>
      <c r="B6" s="26" t="s">
        <v>16</v>
      </c>
      <c r="C6" s="26"/>
      <c r="D6" s="27" t="n">
        <v>4</v>
      </c>
    </row>
    <row r="7" customFormat="false" ht="15" hidden="false" customHeight="false" outlineLevel="0" collapsed="false">
      <c r="A7" s="28"/>
      <c r="B7" s="29"/>
      <c r="C7" s="29" t="s">
        <v>17</v>
      </c>
      <c r="D7" s="30" t="n">
        <v>4</v>
      </c>
    </row>
    <row r="8" customFormat="false" ht="15" hidden="false" customHeight="false" outlineLevel="0" collapsed="false">
      <c r="A8" s="8" t="s">
        <v>18</v>
      </c>
      <c r="B8" s="23"/>
      <c r="C8" s="24"/>
      <c r="D8" s="25" t="n">
        <v>1</v>
      </c>
    </row>
    <row r="9" customFormat="false" ht="15" hidden="false" customHeight="false" outlineLevel="0" collapsed="false">
      <c r="A9" s="11"/>
      <c r="B9" s="26" t="s">
        <v>16</v>
      </c>
      <c r="C9" s="26"/>
      <c r="D9" s="27" t="n">
        <v>1</v>
      </c>
    </row>
    <row r="10" customFormat="false" ht="15" hidden="false" customHeight="false" outlineLevel="0" collapsed="false">
      <c r="A10" s="28"/>
      <c r="B10" s="29"/>
      <c r="C10" s="29" t="s">
        <v>17</v>
      </c>
      <c r="D10" s="30" t="n">
        <v>1</v>
      </c>
    </row>
    <row r="11" customFormat="false" ht="15" hidden="false" customHeight="false" outlineLevel="0" collapsed="false">
      <c r="A11" s="8" t="s">
        <v>19</v>
      </c>
      <c r="B11" s="23"/>
      <c r="C11" s="24"/>
      <c r="D11" s="25" t="n">
        <v>22</v>
      </c>
    </row>
    <row r="12" customFormat="false" ht="15" hidden="false" customHeight="false" outlineLevel="0" collapsed="false">
      <c r="A12" s="11"/>
      <c r="B12" s="26" t="s">
        <v>20</v>
      </c>
      <c r="C12" s="26"/>
      <c r="D12" s="27" t="n">
        <v>22</v>
      </c>
    </row>
    <row r="13" customFormat="false" ht="15" hidden="false" customHeight="false" outlineLevel="0" collapsed="false">
      <c r="A13" s="28"/>
      <c r="B13" s="29"/>
      <c r="C13" s="29" t="s">
        <v>21</v>
      </c>
      <c r="D13" s="30" t="n">
        <v>22</v>
      </c>
    </row>
    <row r="14" customFormat="false" ht="15" hidden="false" customHeight="false" outlineLevel="0" collapsed="false">
      <c r="A14" s="8" t="s">
        <v>22</v>
      </c>
      <c r="B14" s="23"/>
      <c r="C14" s="24"/>
      <c r="D14" s="25" t="n">
        <v>16</v>
      </c>
    </row>
    <row r="15" customFormat="false" ht="15" hidden="false" customHeight="false" outlineLevel="0" collapsed="false">
      <c r="A15" s="11"/>
      <c r="B15" s="26" t="s">
        <v>23</v>
      </c>
      <c r="C15" s="26"/>
      <c r="D15" s="27" t="n">
        <v>16</v>
      </c>
    </row>
    <row r="16" customFormat="false" ht="15" hidden="false" customHeight="false" outlineLevel="0" collapsed="false">
      <c r="A16" s="28"/>
      <c r="B16" s="29"/>
      <c r="C16" s="29" t="s">
        <v>24</v>
      </c>
      <c r="D16" s="30" t="n">
        <v>16</v>
      </c>
    </row>
    <row r="17" customFormat="false" ht="15" hidden="false" customHeight="false" outlineLevel="0" collapsed="false">
      <c r="A17" s="8" t="s">
        <v>25</v>
      </c>
      <c r="B17" s="23"/>
      <c r="C17" s="24"/>
      <c r="D17" s="25" t="n">
        <v>1</v>
      </c>
    </row>
    <row r="18" customFormat="false" ht="15" hidden="false" customHeight="false" outlineLevel="0" collapsed="false">
      <c r="A18" s="11"/>
      <c r="B18" s="26" t="s">
        <v>20</v>
      </c>
      <c r="C18" s="26"/>
      <c r="D18" s="27" t="n">
        <v>1</v>
      </c>
    </row>
    <row r="19" customFormat="false" ht="15" hidden="false" customHeight="false" outlineLevel="0" collapsed="false">
      <c r="A19" s="28"/>
      <c r="B19" s="29"/>
      <c r="C19" s="29" t="s">
        <v>21</v>
      </c>
      <c r="D19" s="30" t="n">
        <v>1</v>
      </c>
    </row>
    <row r="20" customFormat="false" ht="15" hidden="false" customHeight="false" outlineLevel="0" collapsed="false">
      <c r="A20" s="8" t="s">
        <v>26</v>
      </c>
      <c r="B20" s="23"/>
      <c r="C20" s="24"/>
      <c r="D20" s="25" t="n">
        <v>2</v>
      </c>
    </row>
    <row r="21" customFormat="false" ht="15" hidden="false" customHeight="false" outlineLevel="0" collapsed="false">
      <c r="A21" s="11"/>
      <c r="B21" s="26" t="s">
        <v>23</v>
      </c>
      <c r="C21" s="26"/>
      <c r="D21" s="27" t="n">
        <v>2</v>
      </c>
    </row>
    <row r="22" customFormat="false" ht="15" hidden="false" customHeight="false" outlineLevel="0" collapsed="false">
      <c r="A22" s="28"/>
      <c r="B22" s="29"/>
      <c r="C22" s="29" t="s">
        <v>24</v>
      </c>
      <c r="D22" s="30" t="n">
        <v>2</v>
      </c>
    </row>
    <row r="23" customFormat="false" ht="15" hidden="false" customHeight="false" outlineLevel="0" collapsed="false">
      <c r="A23" s="8" t="s">
        <v>27</v>
      </c>
      <c r="B23" s="23"/>
      <c r="C23" s="24"/>
      <c r="D23" s="25" t="n">
        <v>100</v>
      </c>
    </row>
    <row r="24" customFormat="false" ht="15" hidden="false" customHeight="false" outlineLevel="0" collapsed="false">
      <c r="A24" s="11"/>
      <c r="B24" s="26" t="s">
        <v>20</v>
      </c>
      <c r="C24" s="26"/>
      <c r="D24" s="27" t="n">
        <v>100</v>
      </c>
    </row>
    <row r="25" customFormat="false" ht="15" hidden="false" customHeight="false" outlineLevel="0" collapsed="false">
      <c r="A25" s="28"/>
      <c r="B25" s="29"/>
      <c r="C25" s="29" t="s">
        <v>21</v>
      </c>
      <c r="D25" s="30" t="n">
        <v>100</v>
      </c>
    </row>
    <row r="26" customFormat="false" ht="15" hidden="false" customHeight="false" outlineLevel="0" collapsed="false">
      <c r="A26" s="8" t="s">
        <v>28</v>
      </c>
      <c r="B26" s="23"/>
      <c r="C26" s="24"/>
      <c r="D26" s="25" t="n">
        <v>10</v>
      </c>
    </row>
    <row r="27" customFormat="false" ht="15" hidden="false" customHeight="false" outlineLevel="0" collapsed="false">
      <c r="A27" s="11"/>
      <c r="B27" s="26" t="s">
        <v>20</v>
      </c>
      <c r="C27" s="26"/>
      <c r="D27" s="27" t="n">
        <v>10</v>
      </c>
    </row>
    <row r="28" customFormat="false" ht="15" hidden="false" customHeight="false" outlineLevel="0" collapsed="false">
      <c r="A28" s="28"/>
      <c r="B28" s="29"/>
      <c r="C28" s="29" t="s">
        <v>21</v>
      </c>
      <c r="D28" s="30" t="n">
        <v>10</v>
      </c>
    </row>
    <row r="29" customFormat="false" ht="15" hidden="false" customHeight="false" outlineLevel="0" collapsed="false">
      <c r="A29" s="8" t="s">
        <v>29</v>
      </c>
      <c r="B29" s="23"/>
      <c r="C29" s="24"/>
      <c r="D29" s="25" t="n">
        <v>26</v>
      </c>
    </row>
    <row r="30" customFormat="false" ht="15" hidden="false" customHeight="false" outlineLevel="0" collapsed="false">
      <c r="A30" s="11"/>
      <c r="B30" s="26" t="s">
        <v>30</v>
      </c>
      <c r="C30" s="26"/>
      <c r="D30" s="27" t="n">
        <v>26</v>
      </c>
    </row>
    <row r="31" customFormat="false" ht="15" hidden="false" customHeight="false" outlineLevel="0" collapsed="false">
      <c r="A31" s="28"/>
      <c r="B31" s="29"/>
      <c r="C31" s="29" t="s">
        <v>31</v>
      </c>
      <c r="D31" s="30" t="n">
        <v>26</v>
      </c>
    </row>
    <row r="32" customFormat="false" ht="15" hidden="false" customHeight="false" outlineLevel="0" collapsed="false">
      <c r="A32" s="8" t="s">
        <v>32</v>
      </c>
      <c r="B32" s="23"/>
      <c r="C32" s="24"/>
      <c r="D32" s="25" t="n">
        <v>2</v>
      </c>
    </row>
    <row r="33" customFormat="false" ht="15" hidden="false" customHeight="false" outlineLevel="0" collapsed="false">
      <c r="A33" s="11"/>
      <c r="B33" s="26" t="s">
        <v>23</v>
      </c>
      <c r="C33" s="26"/>
      <c r="D33" s="27" t="n">
        <v>2</v>
      </c>
    </row>
    <row r="34" customFormat="false" ht="15" hidden="false" customHeight="false" outlineLevel="0" collapsed="false">
      <c r="A34" s="28"/>
      <c r="B34" s="29"/>
      <c r="C34" s="29" t="s">
        <v>24</v>
      </c>
      <c r="D34" s="30" t="n">
        <v>2</v>
      </c>
    </row>
    <row r="35" customFormat="false" ht="15" hidden="false" customHeight="false" outlineLevel="0" collapsed="false">
      <c r="A35" s="8" t="s">
        <v>33</v>
      </c>
      <c r="B35" s="23"/>
      <c r="C35" s="24"/>
      <c r="D35" s="25" t="n">
        <v>2</v>
      </c>
    </row>
    <row r="36" customFormat="false" ht="15" hidden="false" customHeight="false" outlineLevel="0" collapsed="false">
      <c r="A36" s="11"/>
      <c r="B36" s="26" t="s">
        <v>34</v>
      </c>
      <c r="C36" s="26"/>
      <c r="D36" s="27" t="n">
        <v>2</v>
      </c>
    </row>
    <row r="37" customFormat="false" ht="15" hidden="false" customHeight="false" outlineLevel="0" collapsed="false">
      <c r="A37" s="28"/>
      <c r="B37" s="29"/>
      <c r="C37" s="29" t="s">
        <v>35</v>
      </c>
      <c r="D37" s="30" t="n">
        <v>2</v>
      </c>
    </row>
    <row r="38" customFormat="false" ht="15" hidden="false" customHeight="false" outlineLevel="0" collapsed="false">
      <c r="A38" s="8" t="s">
        <v>36</v>
      </c>
      <c r="B38" s="23"/>
      <c r="C38" s="24"/>
      <c r="D38" s="25" t="n">
        <v>2</v>
      </c>
    </row>
    <row r="39" customFormat="false" ht="15" hidden="false" customHeight="false" outlineLevel="0" collapsed="false">
      <c r="A39" s="11"/>
      <c r="B39" s="26" t="s">
        <v>20</v>
      </c>
      <c r="C39" s="26"/>
      <c r="D39" s="27" t="n">
        <v>2</v>
      </c>
    </row>
    <row r="40" customFormat="false" ht="15" hidden="false" customHeight="false" outlineLevel="0" collapsed="false">
      <c r="A40" s="28"/>
      <c r="B40" s="29"/>
      <c r="C40" s="29" t="s">
        <v>21</v>
      </c>
      <c r="D40" s="30" t="n">
        <v>2</v>
      </c>
    </row>
    <row r="41" customFormat="false" ht="15" hidden="false" customHeight="false" outlineLevel="0" collapsed="false">
      <c r="A41" s="31" t="s">
        <v>3</v>
      </c>
      <c r="B41" s="32"/>
      <c r="C41" s="33"/>
      <c r="D41" s="18" t="n">
        <v>188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8" zoomScaleNormal="108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" ySplit="1" topLeftCell="M5" activePane="bottomRight" state="frozen"/>
      <selection pane="topLeft" activeCell="A1" activeCellId="0" sqref="A1"/>
      <selection pane="topRight" activeCell="M1" activeCellId="0" sqref="M1"/>
      <selection pane="bottomLeft" activeCell="A5" activeCellId="0" sqref="A5"/>
      <selection pane="bottomRight" activeCell="P30" activeCellId="0" sqref="P30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47.28"/>
    <col collapsed="false" customWidth="true" hidden="false" outlineLevel="0" max="2" min="2" style="1" width="22.7"/>
    <col collapsed="false" customWidth="true" hidden="false" outlineLevel="0" max="3" min="3" style="1" width="27.57"/>
    <col collapsed="false" customWidth="true" hidden="false" outlineLevel="0" max="4" min="4" style="1" width="25.14"/>
    <col collapsed="false" customWidth="true" hidden="false" outlineLevel="0" max="6" min="5" style="1" width="24.43"/>
    <col collapsed="false" customWidth="true" hidden="false" outlineLevel="0" max="7" min="7" style="1" width="16"/>
    <col collapsed="false" customWidth="true" hidden="false" outlineLevel="0" max="9" min="8" style="1" width="26.7"/>
    <col collapsed="false" customWidth="true" hidden="false" outlineLevel="0" max="10" min="10" style="1" width="48.57"/>
    <col collapsed="false" customWidth="true" hidden="false" outlineLevel="0" max="11" min="11" style="34" width="20"/>
    <col collapsed="false" customWidth="true" hidden="false" outlineLevel="0" max="12" min="12" style="1" width="16"/>
    <col collapsed="false" customWidth="true" hidden="false" outlineLevel="0" max="14" min="13" style="1" width="17.15"/>
    <col collapsed="false" customWidth="true" hidden="false" outlineLevel="0" max="15" min="15" style="34" width="51.72"/>
    <col collapsed="false" customWidth="true" hidden="false" outlineLevel="0" max="16" min="16" style="1" width="31"/>
    <col collapsed="false" customWidth="true" hidden="false" outlineLevel="0" max="17" min="17" style="1" width="28"/>
    <col collapsed="false" customWidth="true" hidden="false" outlineLevel="0" max="18" min="18" style="1" width="37.71"/>
    <col collapsed="false" customWidth="true" hidden="false" outlineLevel="0" max="19" min="19" style="35" width="19.8"/>
    <col collapsed="false" customWidth="true" hidden="false" outlineLevel="0" max="20" min="20" style="35" width="21.55"/>
    <col collapsed="false" customWidth="true" hidden="false" outlineLevel="0" max="21" min="21" style="35" width="22.76"/>
  </cols>
  <sheetData>
    <row r="1" customFormat="false" ht="44.75" hidden="false" customHeight="false" outlineLevel="0" collapsed="false">
      <c r="A1" s="36" t="s">
        <v>37</v>
      </c>
      <c r="B1" s="36" t="s">
        <v>38</v>
      </c>
      <c r="C1" s="36" t="s">
        <v>39</v>
      </c>
      <c r="D1" s="36" t="s">
        <v>40</v>
      </c>
      <c r="E1" s="37" t="s">
        <v>41</v>
      </c>
      <c r="F1" s="37" t="s">
        <v>42</v>
      </c>
      <c r="G1" s="37" t="s">
        <v>43</v>
      </c>
      <c r="H1" s="37" t="s">
        <v>44</v>
      </c>
      <c r="I1" s="37" t="s">
        <v>45</v>
      </c>
      <c r="J1" s="37" t="s">
        <v>46</v>
      </c>
      <c r="K1" s="38" t="s">
        <v>47</v>
      </c>
      <c r="L1" s="37" t="s">
        <v>48</v>
      </c>
      <c r="M1" s="37" t="s">
        <v>49</v>
      </c>
      <c r="N1" s="37" t="s">
        <v>50</v>
      </c>
      <c r="O1" s="38" t="s">
        <v>51</v>
      </c>
      <c r="P1" s="37" t="s">
        <v>52</v>
      </c>
      <c r="Q1" s="37" t="s">
        <v>53</v>
      </c>
      <c r="R1" s="37" t="s">
        <v>54</v>
      </c>
      <c r="S1" s="37" t="s">
        <v>55</v>
      </c>
      <c r="T1" s="35" t="s">
        <v>56</v>
      </c>
      <c r="U1" s="35" t="s">
        <v>57</v>
      </c>
    </row>
    <row r="2" customFormat="false" ht="14.9" hidden="false" customHeight="false" outlineLevel="0" collapsed="false">
      <c r="A2" s="37" t="s">
        <v>58</v>
      </c>
      <c r="B2" s="37" t="n">
        <v>7</v>
      </c>
      <c r="C2" s="37" t="n">
        <v>1</v>
      </c>
      <c r="D2" s="37" t="s">
        <v>59</v>
      </c>
      <c r="E2" s="37" t="s">
        <v>60</v>
      </c>
      <c r="F2" s="37" t="s">
        <v>61</v>
      </c>
      <c r="G2" s="37" t="n">
        <v>1959104</v>
      </c>
      <c r="H2" s="37" t="s">
        <v>62</v>
      </c>
      <c r="I2" s="37" t="s">
        <v>63</v>
      </c>
      <c r="J2" s="39" t="s">
        <v>64</v>
      </c>
      <c r="K2" s="40"/>
      <c r="L2" s="41" t="n">
        <v>17</v>
      </c>
      <c r="M2" s="41" t="s">
        <v>65</v>
      </c>
      <c r="N2" s="41"/>
      <c r="O2" s="40" t="s">
        <v>66</v>
      </c>
      <c r="P2" s="37"/>
      <c r="Q2" s="37" t="s">
        <v>67</v>
      </c>
      <c r="R2" s="37" t="s">
        <v>68</v>
      </c>
      <c r="S2" s="38" t="s">
        <v>69</v>
      </c>
      <c r="T2" s="38" t="s">
        <v>70</v>
      </c>
      <c r="U2" s="38" t="s">
        <v>71</v>
      </c>
    </row>
    <row r="3" customFormat="false" ht="74.6" hidden="false" customHeight="false" outlineLevel="0" collapsed="false">
      <c r="A3" s="37" t="s">
        <v>72</v>
      </c>
      <c r="B3" s="37" t="n">
        <v>9</v>
      </c>
      <c r="C3" s="37" t="n">
        <v>2</v>
      </c>
      <c r="D3" s="37" t="s">
        <v>73</v>
      </c>
      <c r="E3" s="37" t="s">
        <v>74</v>
      </c>
      <c r="F3" s="37" t="s">
        <v>75</v>
      </c>
      <c r="G3" s="37" t="n">
        <v>1470066</v>
      </c>
      <c r="H3" s="37" t="s">
        <v>62</v>
      </c>
      <c r="I3" s="37" t="s">
        <v>63</v>
      </c>
      <c r="J3" s="39" t="s">
        <v>64</v>
      </c>
      <c r="K3" s="40"/>
      <c r="L3" s="41" t="n">
        <v>50</v>
      </c>
      <c r="M3" s="41" t="s">
        <v>76</v>
      </c>
      <c r="N3" s="41"/>
      <c r="O3" s="40" t="s">
        <v>77</v>
      </c>
      <c r="P3" s="37"/>
      <c r="Q3" s="37" t="s">
        <v>67</v>
      </c>
      <c r="R3" s="42" t="s">
        <v>68</v>
      </c>
      <c r="S3" s="38" t="s">
        <v>78</v>
      </c>
      <c r="T3" s="38" t="s">
        <v>79</v>
      </c>
      <c r="U3" s="38" t="s">
        <v>80</v>
      </c>
    </row>
    <row r="4" customFormat="false" ht="13.8" hidden="false" customHeight="false" outlineLevel="0" collapsed="false">
      <c r="A4" s="1" t="s">
        <v>81</v>
      </c>
      <c r="C4" s="1" t="n">
        <v>3</v>
      </c>
      <c r="D4" s="37" t="s">
        <v>82</v>
      </c>
      <c r="E4" s="1" t="s">
        <v>83</v>
      </c>
      <c r="F4" s="1" t="s">
        <v>84</v>
      </c>
      <c r="G4" s="1" t="n">
        <v>1898749</v>
      </c>
      <c r="U4" s="35" t="s">
        <v>85</v>
      </c>
    </row>
    <row r="5" customFormat="false" ht="59.7" hidden="false" customHeight="false" outlineLevel="0" collapsed="false">
      <c r="A5" s="37" t="s">
        <v>86</v>
      </c>
      <c r="B5" s="37" t="n">
        <v>3</v>
      </c>
      <c r="C5" s="37" t="n">
        <v>4</v>
      </c>
      <c r="D5" s="37" t="s">
        <v>87</v>
      </c>
      <c r="E5" s="37" t="s">
        <v>88</v>
      </c>
      <c r="F5" s="37" t="s">
        <v>89</v>
      </c>
      <c r="G5" s="37" t="n">
        <v>1470067</v>
      </c>
      <c r="H5" s="37" t="s">
        <v>62</v>
      </c>
      <c r="I5" s="37" t="s">
        <v>63</v>
      </c>
      <c r="J5" s="39" t="s">
        <v>64</v>
      </c>
      <c r="K5" s="40"/>
      <c r="L5" s="41" t="n">
        <v>0</v>
      </c>
      <c r="M5" s="41" t="s">
        <v>90</v>
      </c>
      <c r="N5" s="41"/>
      <c r="O5" s="40" t="s">
        <v>91</v>
      </c>
      <c r="P5" s="37"/>
      <c r="Q5" s="37" t="s">
        <v>67</v>
      </c>
      <c r="R5" s="37" t="s">
        <v>68</v>
      </c>
      <c r="S5" s="35" t="s">
        <v>92</v>
      </c>
      <c r="T5" s="35" t="s">
        <v>93</v>
      </c>
      <c r="U5" s="35" t="s">
        <v>94</v>
      </c>
    </row>
    <row r="6" customFormat="false" ht="29.85" hidden="false" customHeight="false" outlineLevel="0" collapsed="false">
      <c r="A6" s="37" t="s">
        <v>95</v>
      </c>
      <c r="B6" s="37" t="n">
        <v>6</v>
      </c>
      <c r="C6" s="37" t="n">
        <v>5</v>
      </c>
      <c r="D6" s="37" t="s">
        <v>96</v>
      </c>
      <c r="E6" s="37" t="s">
        <v>97</v>
      </c>
      <c r="F6" s="37" t="s">
        <v>98</v>
      </c>
      <c r="G6" s="37" t="n">
        <v>1580092</v>
      </c>
      <c r="H6" s="37" t="s">
        <v>62</v>
      </c>
      <c r="I6" s="37" t="s">
        <v>63</v>
      </c>
      <c r="J6" s="43" t="s">
        <v>99</v>
      </c>
      <c r="K6" s="40" t="n">
        <v>15.5</v>
      </c>
      <c r="L6" s="41" t="n">
        <v>0.5</v>
      </c>
      <c r="M6" s="41" t="s">
        <v>100</v>
      </c>
      <c r="N6" s="41"/>
      <c r="O6" s="40" t="s">
        <v>101</v>
      </c>
      <c r="P6" s="37" t="s">
        <v>102</v>
      </c>
      <c r="Q6" s="37" t="s">
        <v>103</v>
      </c>
      <c r="R6" s="37" t="s">
        <v>104</v>
      </c>
      <c r="S6" s="35" t="s">
        <v>105</v>
      </c>
      <c r="U6" s="35" t="s">
        <v>106</v>
      </c>
    </row>
    <row r="7" customFormat="false" ht="13.8" hidden="false" customHeight="false" outlineLevel="0" collapsed="false">
      <c r="A7" s="37" t="s">
        <v>107</v>
      </c>
      <c r="C7" s="44" t="n">
        <v>5.1</v>
      </c>
      <c r="D7" s="1" t="s">
        <v>108</v>
      </c>
      <c r="F7" s="37"/>
      <c r="U7" s="35" t="s">
        <v>109</v>
      </c>
    </row>
    <row r="8" customFormat="false" ht="59.7" hidden="false" customHeight="false" outlineLevel="0" collapsed="false">
      <c r="A8" s="37" t="s">
        <v>110</v>
      </c>
      <c r="B8" s="37" t="n">
        <v>20</v>
      </c>
      <c r="C8" s="44" t="n">
        <v>5.2</v>
      </c>
      <c r="D8" s="37" t="s">
        <v>111</v>
      </c>
      <c r="E8" s="37"/>
      <c r="F8" s="37"/>
      <c r="G8" s="37" t="n">
        <v>1701109</v>
      </c>
      <c r="H8" s="37" t="s">
        <v>62</v>
      </c>
      <c r="I8" s="37" t="s">
        <v>63</v>
      </c>
      <c r="J8" s="43" t="s">
        <v>99</v>
      </c>
      <c r="K8" s="40" t="n">
        <v>14.9</v>
      </c>
      <c r="L8" s="41" t="n">
        <v>5</v>
      </c>
      <c r="M8" s="41" t="s">
        <v>112</v>
      </c>
      <c r="N8" s="41"/>
      <c r="O8" s="40" t="s">
        <v>113</v>
      </c>
      <c r="P8" s="37"/>
      <c r="Q8" s="37" t="s">
        <v>114</v>
      </c>
      <c r="R8" s="42" t="s">
        <v>115</v>
      </c>
      <c r="S8" s="35" t="s">
        <v>116</v>
      </c>
      <c r="T8" s="35" t="s">
        <v>117</v>
      </c>
    </row>
    <row r="9" customFormat="false" ht="44.75" hidden="false" customHeight="false" outlineLevel="0" collapsed="false">
      <c r="A9" s="37" t="s">
        <v>118</v>
      </c>
      <c r="B9" s="37" t="n">
        <v>2</v>
      </c>
      <c r="C9" s="37" t="n">
        <v>6</v>
      </c>
      <c r="D9" s="37" t="s">
        <v>119</v>
      </c>
      <c r="E9" s="37" t="s">
        <v>120</v>
      </c>
      <c r="F9" s="37" t="s">
        <v>121</v>
      </c>
      <c r="G9" s="37" t="n">
        <v>1229908</v>
      </c>
      <c r="H9" s="37" t="s">
        <v>62</v>
      </c>
      <c r="I9" s="37" t="s">
        <v>63</v>
      </c>
      <c r="J9" s="45" t="s">
        <v>122</v>
      </c>
      <c r="K9" s="40"/>
      <c r="L9" s="41" t="n">
        <v>78</v>
      </c>
      <c r="M9" s="41" t="s">
        <v>123</v>
      </c>
      <c r="N9" s="41"/>
      <c r="O9" s="40" t="s">
        <v>124</v>
      </c>
      <c r="P9" s="37" t="s">
        <v>125</v>
      </c>
      <c r="Q9" s="37" t="s">
        <v>126</v>
      </c>
      <c r="R9" s="42" t="s">
        <v>127</v>
      </c>
      <c r="U9" s="35" t="s">
        <v>128</v>
      </c>
    </row>
    <row r="10" customFormat="false" ht="29.85" hidden="false" customHeight="false" outlineLevel="0" collapsed="false">
      <c r="A10" s="37" t="s">
        <v>129</v>
      </c>
      <c r="B10" s="37" t="n">
        <v>4</v>
      </c>
      <c r="C10" s="37" t="n">
        <v>7</v>
      </c>
      <c r="D10" s="37" t="s">
        <v>130</v>
      </c>
      <c r="E10" s="37" t="s">
        <v>131</v>
      </c>
      <c r="F10" s="37" t="s">
        <v>132</v>
      </c>
      <c r="G10" s="37" t="n">
        <v>338192</v>
      </c>
      <c r="H10" s="37" t="s">
        <v>62</v>
      </c>
      <c r="I10" s="37" t="s">
        <v>63</v>
      </c>
      <c r="J10" s="39" t="s">
        <v>64</v>
      </c>
      <c r="K10" s="40"/>
      <c r="L10" s="41"/>
      <c r="M10" s="41"/>
      <c r="N10" s="41"/>
      <c r="O10" s="40" t="s">
        <v>133</v>
      </c>
      <c r="P10" s="37" t="s">
        <v>134</v>
      </c>
      <c r="Q10" s="37" t="s">
        <v>114</v>
      </c>
      <c r="R10" s="42" t="s">
        <v>115</v>
      </c>
      <c r="S10" s="35" t="s">
        <v>135</v>
      </c>
      <c r="T10" s="38" t="s">
        <v>136</v>
      </c>
      <c r="U10" s="35" t="s">
        <v>137</v>
      </c>
    </row>
    <row r="11" customFormat="false" ht="59.7" hidden="false" customHeight="false" outlineLevel="0" collapsed="false">
      <c r="A11" s="37" t="s">
        <v>138</v>
      </c>
      <c r="B11" s="37" t="n">
        <v>5</v>
      </c>
      <c r="C11" s="44" t="n">
        <v>7.1</v>
      </c>
      <c r="D11" s="37" t="s">
        <v>139</v>
      </c>
      <c r="E11" s="37"/>
      <c r="F11" s="37"/>
      <c r="G11" s="37"/>
      <c r="H11" s="37" t="s">
        <v>62</v>
      </c>
      <c r="I11" s="37" t="s">
        <v>63</v>
      </c>
      <c r="J11" s="43" t="s">
        <v>99</v>
      </c>
      <c r="K11" s="40" t="n">
        <v>13.6</v>
      </c>
      <c r="L11" s="41" t="n">
        <v>5</v>
      </c>
      <c r="M11" s="41" t="s">
        <v>112</v>
      </c>
      <c r="N11" s="41"/>
      <c r="O11" s="40" t="s">
        <v>140</v>
      </c>
      <c r="P11" s="37"/>
      <c r="Q11" s="37" t="s">
        <v>114</v>
      </c>
      <c r="R11" s="37" t="s">
        <v>115</v>
      </c>
      <c r="S11" s="35" t="s">
        <v>141</v>
      </c>
      <c r="T11" s="35" t="s">
        <v>142</v>
      </c>
    </row>
    <row r="12" customFormat="false" ht="29.85" hidden="false" customHeight="false" outlineLevel="0" collapsed="false">
      <c r="A12" s="37" t="s">
        <v>143</v>
      </c>
      <c r="B12" s="37" t="n">
        <v>1</v>
      </c>
      <c r="C12" s="37" t="n">
        <v>8</v>
      </c>
      <c r="D12" s="37" t="s">
        <v>144</v>
      </c>
      <c r="E12" s="37" t="s">
        <v>145</v>
      </c>
      <c r="F12" s="37" t="s">
        <v>146</v>
      </c>
      <c r="G12" s="37" t="n">
        <v>1582439</v>
      </c>
      <c r="H12" s="37" t="s">
        <v>62</v>
      </c>
      <c r="I12" s="37" t="s">
        <v>63</v>
      </c>
      <c r="J12" s="45" t="s">
        <v>122</v>
      </c>
      <c r="K12" s="41" t="n">
        <v>13.1</v>
      </c>
      <c r="L12" s="41" t="n">
        <v>0.5</v>
      </c>
      <c r="M12" s="41" t="s">
        <v>100</v>
      </c>
      <c r="N12" s="41"/>
      <c r="O12" s="40" t="s">
        <v>147</v>
      </c>
      <c r="P12" s="37" t="s">
        <v>102</v>
      </c>
      <c r="Q12" s="37" t="s">
        <v>103</v>
      </c>
      <c r="R12" s="37" t="s">
        <v>104</v>
      </c>
      <c r="S12" s="35" t="s">
        <v>148</v>
      </c>
      <c r="U12" s="35" t="s">
        <v>149</v>
      </c>
    </row>
    <row r="13" customFormat="false" ht="44.75" hidden="false" customHeight="false" outlineLevel="0" collapsed="false">
      <c r="A13" s="37" t="s">
        <v>150</v>
      </c>
      <c r="B13" s="37" t="n">
        <v>8</v>
      </c>
      <c r="C13" s="44" t="n">
        <v>8.1</v>
      </c>
      <c r="D13" s="37" t="s">
        <v>151</v>
      </c>
      <c r="E13" s="37"/>
      <c r="F13" s="37"/>
      <c r="G13" s="37" t="n">
        <v>1027374</v>
      </c>
      <c r="H13" s="37" t="s">
        <v>62</v>
      </c>
      <c r="I13" s="37" t="s">
        <v>63</v>
      </c>
      <c r="J13" s="45" t="s">
        <v>122</v>
      </c>
      <c r="K13" s="40"/>
      <c r="L13" s="41" t="n">
        <v>650</v>
      </c>
      <c r="M13" s="41" t="s">
        <v>152</v>
      </c>
      <c r="N13" s="41"/>
      <c r="O13" s="40" t="s">
        <v>153</v>
      </c>
      <c r="P13" s="37" t="s">
        <v>154</v>
      </c>
      <c r="Q13" s="37" t="s">
        <v>126</v>
      </c>
      <c r="R13" s="42" t="s">
        <v>127</v>
      </c>
    </row>
    <row r="14" customFormat="false" ht="29.85" hidden="false" customHeight="false" outlineLevel="0" collapsed="false">
      <c r="A14" s="37" t="s">
        <v>155</v>
      </c>
      <c r="B14" s="37" t="n">
        <v>10</v>
      </c>
      <c r="C14" s="37" t="n">
        <v>9</v>
      </c>
      <c r="D14" s="37" t="s">
        <v>156</v>
      </c>
      <c r="E14" s="37" t="s">
        <v>157</v>
      </c>
      <c r="F14" s="37" t="s">
        <v>158</v>
      </c>
      <c r="G14" s="37" t="n">
        <v>1088740</v>
      </c>
      <c r="H14" s="37" t="s">
        <v>62</v>
      </c>
      <c r="I14" s="37" t="s">
        <v>63</v>
      </c>
      <c r="J14" s="39" t="s">
        <v>64</v>
      </c>
      <c r="K14" s="40"/>
      <c r="L14" s="41"/>
      <c r="M14" s="41"/>
      <c r="N14" s="41"/>
      <c r="O14" s="40" t="s">
        <v>159</v>
      </c>
      <c r="P14" s="37" t="s">
        <v>154</v>
      </c>
      <c r="Q14" s="37" t="s">
        <v>160</v>
      </c>
      <c r="R14" s="37" t="s">
        <v>161</v>
      </c>
      <c r="S14" s="37" t="s">
        <v>162</v>
      </c>
      <c r="T14" s="35" t="s">
        <v>163</v>
      </c>
    </row>
    <row r="15" customFormat="false" ht="59.7" hidden="false" customHeight="false" outlineLevel="0" collapsed="false">
      <c r="A15" s="37" t="s">
        <v>164</v>
      </c>
      <c r="B15" s="37" t="n">
        <v>11</v>
      </c>
      <c r="C15" s="46" t="n">
        <v>10</v>
      </c>
      <c r="D15" s="37" t="s">
        <v>165</v>
      </c>
      <c r="E15" s="37" t="s">
        <v>166</v>
      </c>
      <c r="F15" s="37" t="s">
        <v>167</v>
      </c>
      <c r="G15" s="40" t="n">
        <v>1007084</v>
      </c>
      <c r="H15" s="37" t="s">
        <v>62</v>
      </c>
      <c r="I15" s="37" t="s">
        <v>63</v>
      </c>
      <c r="J15" s="39" t="s">
        <v>64</v>
      </c>
      <c r="K15" s="40" t="n">
        <v>21.6</v>
      </c>
      <c r="L15" s="47" t="n">
        <v>5</v>
      </c>
      <c r="M15" s="41" t="s">
        <v>168</v>
      </c>
      <c r="N15" s="41"/>
      <c r="O15" s="40" t="s">
        <v>169</v>
      </c>
      <c r="P15" s="37" t="s">
        <v>170</v>
      </c>
      <c r="Q15" s="37" t="s">
        <v>126</v>
      </c>
      <c r="R15" s="42" t="s">
        <v>127</v>
      </c>
      <c r="U15" s="35" t="s">
        <v>171</v>
      </c>
    </row>
    <row r="16" customFormat="false" ht="44.75" hidden="false" customHeight="false" outlineLevel="0" collapsed="false">
      <c r="A16" s="37" t="s">
        <v>172</v>
      </c>
      <c r="B16" s="37" t="n">
        <v>19</v>
      </c>
      <c r="C16" s="46" t="n">
        <v>11</v>
      </c>
      <c r="D16" s="37" t="s">
        <v>173</v>
      </c>
      <c r="E16" s="37" t="s">
        <v>174</v>
      </c>
      <c r="F16" s="37" t="s">
        <v>175</v>
      </c>
      <c r="G16" s="40" t="n">
        <v>46770</v>
      </c>
      <c r="H16" s="37" t="s">
        <v>62</v>
      </c>
      <c r="I16" s="37" t="s">
        <v>63</v>
      </c>
      <c r="J16" s="48" t="s">
        <v>176</v>
      </c>
      <c r="K16" s="40"/>
      <c r="L16" s="47" t="n">
        <v>15</v>
      </c>
      <c r="M16" s="41" t="s">
        <v>177</v>
      </c>
      <c r="N16" s="41"/>
      <c r="O16" s="40" t="s">
        <v>178</v>
      </c>
      <c r="P16" s="37" t="s">
        <v>179</v>
      </c>
      <c r="Q16" s="37" t="s">
        <v>180</v>
      </c>
      <c r="R16" s="37" t="s">
        <v>181</v>
      </c>
      <c r="U16" s="35" t="s">
        <v>182</v>
      </c>
    </row>
    <row r="17" customFormat="false" ht="13.8" hidden="false" customHeight="false" outlineLevel="0" collapsed="false">
      <c r="A17" s="37" t="s">
        <v>183</v>
      </c>
      <c r="C17" s="1" t="n">
        <v>12</v>
      </c>
      <c r="D17" s="1" t="s">
        <v>184</v>
      </c>
      <c r="E17" s="1" t="s">
        <v>185</v>
      </c>
      <c r="F17" s="1" t="s">
        <v>186</v>
      </c>
      <c r="U17" s="35" t="s">
        <v>187</v>
      </c>
    </row>
    <row r="18" customFormat="false" ht="14.9" hidden="false" customHeight="false" outlineLevel="0" collapsed="false">
      <c r="A18" s="37" t="s">
        <v>188</v>
      </c>
      <c r="B18" s="37" t="n">
        <v>18</v>
      </c>
      <c r="C18" s="37" t="n">
        <v>13</v>
      </c>
      <c r="D18" s="37" t="s">
        <v>189</v>
      </c>
      <c r="E18" s="37" t="s">
        <v>190</v>
      </c>
      <c r="F18" s="37" t="s">
        <v>191</v>
      </c>
      <c r="G18" s="37" t="n">
        <v>1407055</v>
      </c>
      <c r="H18" s="37" t="s">
        <v>62</v>
      </c>
      <c r="I18" s="37" t="s">
        <v>63</v>
      </c>
      <c r="J18" s="43" t="s">
        <v>99</v>
      </c>
      <c r="K18" s="40"/>
      <c r="L18" s="41"/>
      <c r="M18" s="41"/>
      <c r="N18" s="41"/>
      <c r="O18" s="40" t="s">
        <v>192</v>
      </c>
      <c r="P18" s="37" t="s">
        <v>193</v>
      </c>
      <c r="Q18" s="37" t="s">
        <v>194</v>
      </c>
      <c r="R18" s="37" t="s">
        <v>195</v>
      </c>
    </row>
    <row r="19" customFormat="false" ht="14.9" hidden="false" customHeight="false" outlineLevel="0" collapsed="false">
      <c r="A19" s="37" t="s">
        <v>196</v>
      </c>
      <c r="B19" s="37" t="n">
        <v>17</v>
      </c>
      <c r="C19" s="37" t="n">
        <v>14</v>
      </c>
      <c r="D19" s="37" t="s">
        <v>197</v>
      </c>
      <c r="E19" s="37" t="s">
        <v>198</v>
      </c>
      <c r="F19" s="37" t="s">
        <v>199</v>
      </c>
      <c r="G19" s="37" t="n">
        <v>1353246</v>
      </c>
      <c r="H19" s="37" t="s">
        <v>62</v>
      </c>
      <c r="I19" s="37" t="s">
        <v>63</v>
      </c>
      <c r="J19" s="39" t="s">
        <v>64</v>
      </c>
      <c r="K19" s="40"/>
      <c r="L19" s="41"/>
      <c r="M19" s="41"/>
      <c r="N19" s="41"/>
      <c r="O19" s="40" t="s">
        <v>200</v>
      </c>
      <c r="P19" s="37" t="s">
        <v>154</v>
      </c>
      <c r="Q19" s="37" t="s">
        <v>201</v>
      </c>
      <c r="R19" s="37" t="s">
        <v>202</v>
      </c>
    </row>
    <row r="20" customFormat="false" ht="29.85" hidden="false" customHeight="false" outlineLevel="0" collapsed="false">
      <c r="A20" s="37" t="s">
        <v>203</v>
      </c>
      <c r="B20" s="37" t="n">
        <v>14</v>
      </c>
      <c r="C20" s="37" t="n">
        <v>15</v>
      </c>
      <c r="D20" s="37" t="s">
        <v>204</v>
      </c>
      <c r="E20" s="37" t="s">
        <v>205</v>
      </c>
      <c r="F20" s="37" t="s">
        <v>206</v>
      </c>
      <c r="G20" s="37" t="n">
        <v>497727</v>
      </c>
      <c r="H20" s="37" t="s">
        <v>207</v>
      </c>
      <c r="I20" s="37" t="s">
        <v>208</v>
      </c>
      <c r="J20" s="49" t="s">
        <v>209</v>
      </c>
      <c r="K20" s="40"/>
      <c r="L20" s="41"/>
      <c r="M20" s="41"/>
      <c r="N20" s="41"/>
      <c r="O20" s="40" t="s">
        <v>210</v>
      </c>
      <c r="P20" s="37" t="s">
        <v>211</v>
      </c>
      <c r="Q20" s="37" t="s">
        <v>103</v>
      </c>
      <c r="R20" s="37" t="s">
        <v>104</v>
      </c>
      <c r="U20" s="35" t="s">
        <v>212</v>
      </c>
    </row>
    <row r="21" customFormat="false" ht="29.85" hidden="false" customHeight="false" outlineLevel="0" collapsed="false">
      <c r="A21" s="37" t="s">
        <v>213</v>
      </c>
      <c r="B21" s="37" t="n">
        <v>12</v>
      </c>
      <c r="C21" s="37" t="n">
        <v>16</v>
      </c>
      <c r="D21" s="37" t="s">
        <v>214</v>
      </c>
      <c r="E21" s="37" t="s">
        <v>215</v>
      </c>
      <c r="F21" s="37" t="s">
        <v>216</v>
      </c>
      <c r="G21" s="37" t="n">
        <v>1034015</v>
      </c>
      <c r="H21" s="37" t="s">
        <v>207</v>
      </c>
      <c r="I21" s="37" t="s">
        <v>208</v>
      </c>
      <c r="J21" s="49" t="s">
        <v>209</v>
      </c>
      <c r="K21" s="40"/>
      <c r="L21" s="41"/>
      <c r="M21" s="41"/>
      <c r="N21" s="41"/>
      <c r="O21" s="38" t="s">
        <v>217</v>
      </c>
      <c r="P21" s="37" t="s">
        <v>218</v>
      </c>
      <c r="Q21" s="37" t="s">
        <v>219</v>
      </c>
      <c r="R21" s="42" t="s">
        <v>220</v>
      </c>
      <c r="S21" s="35" t="s">
        <v>221</v>
      </c>
      <c r="T21" s="35" t="s">
        <v>222</v>
      </c>
      <c r="U21" s="35" t="s">
        <v>223</v>
      </c>
    </row>
    <row r="22" customFormat="false" ht="44.75" hidden="false" customHeight="false" outlineLevel="0" collapsed="false">
      <c r="A22" s="37" t="s">
        <v>224</v>
      </c>
      <c r="B22" s="37" t="n">
        <v>15</v>
      </c>
      <c r="C22" s="37" t="n">
        <v>17</v>
      </c>
      <c r="D22" s="37" t="s">
        <v>225</v>
      </c>
      <c r="E22" s="37" t="s">
        <v>226</v>
      </c>
      <c r="F22" s="37" t="s">
        <v>227</v>
      </c>
      <c r="G22" s="37" t="n">
        <v>1353260</v>
      </c>
      <c r="H22" s="37" t="s">
        <v>207</v>
      </c>
      <c r="I22" s="37" t="s">
        <v>208</v>
      </c>
      <c r="J22" s="39" t="s">
        <v>64</v>
      </c>
      <c r="K22" s="40"/>
      <c r="L22" s="41"/>
      <c r="M22" s="41"/>
      <c r="N22" s="41"/>
      <c r="O22" s="40" t="s">
        <v>228</v>
      </c>
      <c r="P22" s="37" t="s">
        <v>154</v>
      </c>
      <c r="Q22" s="37" t="s">
        <v>229</v>
      </c>
      <c r="R22" s="37" t="s">
        <v>230</v>
      </c>
      <c r="U22" s="35" t="s">
        <v>231</v>
      </c>
    </row>
    <row r="23" customFormat="false" ht="14.9" hidden="false" customHeight="false" outlineLevel="0" collapsed="false">
      <c r="A23" s="37" t="s">
        <v>232</v>
      </c>
      <c r="B23" s="37" t="n">
        <v>27</v>
      </c>
      <c r="C23" s="46" t="n">
        <v>18</v>
      </c>
      <c r="D23" s="37" t="s">
        <v>233</v>
      </c>
      <c r="E23" s="37" t="s">
        <v>234</v>
      </c>
      <c r="F23" s="37" t="s">
        <v>235</v>
      </c>
      <c r="G23" s="37" t="n">
        <v>43687</v>
      </c>
      <c r="H23" s="37" t="s">
        <v>236</v>
      </c>
      <c r="I23" s="37" t="s">
        <v>236</v>
      </c>
      <c r="J23" s="48" t="s">
        <v>237</v>
      </c>
      <c r="K23" s="40"/>
      <c r="L23" s="41"/>
      <c r="M23" s="41"/>
      <c r="N23" s="41"/>
      <c r="O23" s="40" t="s">
        <v>238</v>
      </c>
      <c r="P23" s="37" t="s">
        <v>239</v>
      </c>
      <c r="Q23" s="37" t="s">
        <v>240</v>
      </c>
      <c r="R23" s="37" t="s">
        <v>241</v>
      </c>
      <c r="S23" s="35" t="s">
        <v>242</v>
      </c>
      <c r="U23" s="35" t="s">
        <v>243</v>
      </c>
    </row>
    <row r="24" customFormat="false" ht="14.9" hidden="false" customHeight="false" outlineLevel="0" collapsed="false">
      <c r="A24" s="37" t="s">
        <v>244</v>
      </c>
      <c r="B24" s="37" t="n">
        <v>26</v>
      </c>
      <c r="C24" s="46" t="n">
        <v>19</v>
      </c>
      <c r="D24" s="37" t="s">
        <v>245</v>
      </c>
      <c r="E24" s="37" t="s">
        <v>246</v>
      </c>
      <c r="F24" s="37" t="s">
        <v>247</v>
      </c>
      <c r="G24" s="37" t="n">
        <v>273057</v>
      </c>
      <c r="H24" s="37" t="s">
        <v>236</v>
      </c>
      <c r="I24" s="37" t="s">
        <v>236</v>
      </c>
      <c r="J24" s="48" t="s">
        <v>237</v>
      </c>
      <c r="K24" s="40"/>
      <c r="L24" s="41"/>
      <c r="M24" s="41"/>
      <c r="N24" s="41"/>
      <c r="O24" s="40" t="s">
        <v>248</v>
      </c>
      <c r="P24" s="37" t="s">
        <v>249</v>
      </c>
      <c r="Q24" s="37" t="s">
        <v>240</v>
      </c>
      <c r="R24" s="37" t="s">
        <v>241</v>
      </c>
      <c r="U24" s="35" t="s">
        <v>250</v>
      </c>
    </row>
    <row r="25" customFormat="false" ht="14.9" hidden="false" customHeight="false" outlineLevel="0" collapsed="false">
      <c r="A25" s="37" t="s">
        <v>251</v>
      </c>
      <c r="B25" s="37" t="n">
        <v>29</v>
      </c>
      <c r="C25" s="46" t="n">
        <v>20</v>
      </c>
      <c r="D25" s="37" t="s">
        <v>252</v>
      </c>
      <c r="E25" s="37" t="s">
        <v>253</v>
      </c>
      <c r="F25" s="37" t="s">
        <v>254</v>
      </c>
      <c r="G25" s="37" t="n">
        <v>94694</v>
      </c>
      <c r="H25" s="37" t="s">
        <v>255</v>
      </c>
      <c r="I25" s="37" t="s">
        <v>255</v>
      </c>
      <c r="J25" s="48" t="s">
        <v>237</v>
      </c>
      <c r="K25" s="40"/>
      <c r="L25" s="41"/>
      <c r="M25" s="41"/>
      <c r="N25" s="41"/>
      <c r="O25" s="40" t="s">
        <v>256</v>
      </c>
      <c r="P25" s="37" t="s">
        <v>257</v>
      </c>
      <c r="Q25" s="37" t="s">
        <v>240</v>
      </c>
      <c r="R25" s="37" t="s">
        <v>241</v>
      </c>
      <c r="S25" s="35" t="s">
        <v>258</v>
      </c>
      <c r="U25" s="35" t="s">
        <v>259</v>
      </c>
    </row>
    <row r="26" customFormat="false" ht="14.9" hidden="false" customHeight="false" outlineLevel="0" collapsed="false">
      <c r="A26" s="37" t="s">
        <v>260</v>
      </c>
      <c r="B26" s="37" t="n">
        <v>28</v>
      </c>
      <c r="C26" s="46" t="n">
        <v>20</v>
      </c>
      <c r="D26" s="37" t="s">
        <v>261</v>
      </c>
      <c r="E26" s="37" t="s">
        <v>262</v>
      </c>
      <c r="F26" s="37" t="s">
        <v>263</v>
      </c>
      <c r="G26" s="37" t="n">
        <v>94694</v>
      </c>
      <c r="H26" s="37" t="s">
        <v>255</v>
      </c>
      <c r="I26" s="37" t="s">
        <v>255</v>
      </c>
      <c r="J26" s="48" t="s">
        <v>237</v>
      </c>
      <c r="K26" s="40"/>
      <c r="L26" s="41"/>
      <c r="M26" s="41"/>
      <c r="N26" s="41"/>
      <c r="O26" s="40" t="s">
        <v>264</v>
      </c>
      <c r="P26" s="37" t="s">
        <v>193</v>
      </c>
      <c r="Q26" s="37" t="s">
        <v>240</v>
      </c>
      <c r="R26" s="37" t="s">
        <v>241</v>
      </c>
      <c r="S26" s="35" t="s">
        <v>265</v>
      </c>
    </row>
    <row r="27" customFormat="false" ht="14.9" hidden="false" customHeight="false" outlineLevel="0" collapsed="false">
      <c r="A27" s="37" t="s">
        <v>266</v>
      </c>
      <c r="B27" s="37" t="n">
        <v>21</v>
      </c>
      <c r="C27" s="37" t="n">
        <v>21</v>
      </c>
      <c r="D27" s="37" t="s">
        <v>267</v>
      </c>
      <c r="E27" s="37" t="s">
        <v>268</v>
      </c>
      <c r="F27" s="37" t="s">
        <v>269</v>
      </c>
      <c r="G27" s="37" t="n">
        <v>242703</v>
      </c>
      <c r="H27" s="37" t="s">
        <v>270</v>
      </c>
      <c r="I27" s="37" t="s">
        <v>270</v>
      </c>
      <c r="J27" s="48" t="s">
        <v>237</v>
      </c>
      <c r="K27" s="40"/>
      <c r="L27" s="41"/>
      <c r="M27" s="41"/>
      <c r="N27" s="41"/>
      <c r="O27" s="40" t="s">
        <v>271</v>
      </c>
      <c r="P27" s="37" t="s">
        <v>193</v>
      </c>
      <c r="Q27" s="37" t="s">
        <v>240</v>
      </c>
      <c r="R27" s="37" t="s">
        <v>241</v>
      </c>
      <c r="S27" s="35" t="s">
        <v>272</v>
      </c>
      <c r="U27" s="35" t="s">
        <v>273</v>
      </c>
    </row>
    <row r="28" customFormat="false" ht="13.8" hidden="false" customHeight="false" outlineLevel="0" collapsed="false">
      <c r="A28" s="37" t="s">
        <v>274</v>
      </c>
      <c r="B28" s="37" t="n">
        <v>25</v>
      </c>
      <c r="C28" s="37" t="n">
        <v>22</v>
      </c>
      <c r="D28" s="37" t="s">
        <v>275</v>
      </c>
      <c r="E28" s="37" t="s">
        <v>276</v>
      </c>
      <c r="F28" s="37" t="s">
        <v>277</v>
      </c>
      <c r="G28" s="37" t="n">
        <v>184117</v>
      </c>
      <c r="H28" s="37" t="s">
        <v>278</v>
      </c>
      <c r="I28" s="37" t="s">
        <v>278</v>
      </c>
      <c r="J28" s="48" t="s">
        <v>237</v>
      </c>
      <c r="K28" s="40"/>
      <c r="L28" s="41"/>
      <c r="M28" s="41"/>
      <c r="N28" s="41"/>
      <c r="O28" s="40"/>
      <c r="P28" s="37"/>
      <c r="Q28" s="37" t="s">
        <v>240</v>
      </c>
      <c r="R28" s="37" t="s">
        <v>241</v>
      </c>
      <c r="S28" s="35" t="s">
        <v>279</v>
      </c>
      <c r="U28" s="35" t="s">
        <v>280</v>
      </c>
    </row>
    <row r="29" customFormat="false" ht="13.8" hidden="false" customHeight="false" outlineLevel="0" collapsed="false">
      <c r="A29" s="37" t="s">
        <v>281</v>
      </c>
      <c r="B29" s="37" t="n">
        <v>24</v>
      </c>
      <c r="C29" s="37" t="n">
        <v>23</v>
      </c>
      <c r="D29" s="37" t="s">
        <v>282</v>
      </c>
      <c r="E29" s="37" t="s">
        <v>283</v>
      </c>
      <c r="F29" s="37" t="s">
        <v>284</v>
      </c>
      <c r="G29" s="37" t="n">
        <v>985053</v>
      </c>
      <c r="H29" s="37" t="s">
        <v>278</v>
      </c>
      <c r="I29" s="37" t="s">
        <v>278</v>
      </c>
      <c r="J29" s="48" t="s">
        <v>237</v>
      </c>
      <c r="K29" s="40"/>
      <c r="L29" s="41"/>
      <c r="M29" s="41"/>
      <c r="N29" s="41"/>
      <c r="O29" s="40"/>
      <c r="P29" s="37"/>
      <c r="Q29" s="37" t="s">
        <v>240</v>
      </c>
      <c r="R29" s="37" t="s">
        <v>241</v>
      </c>
      <c r="U29" s="35" t="s">
        <v>285</v>
      </c>
    </row>
    <row r="30" customFormat="false" ht="16.4" hidden="false" customHeight="false" outlineLevel="0" collapsed="false">
      <c r="A30" s="37" t="s">
        <v>286</v>
      </c>
      <c r="B30" s="37" t="n">
        <v>30</v>
      </c>
      <c r="C30" s="37" t="n">
        <v>24</v>
      </c>
      <c r="D30" s="37" t="s">
        <v>287</v>
      </c>
      <c r="E30" s="37" t="s">
        <v>288</v>
      </c>
      <c r="F30" s="37" t="s">
        <v>289</v>
      </c>
      <c r="G30" s="37" t="n">
        <v>82076</v>
      </c>
      <c r="H30" s="37" t="s">
        <v>290</v>
      </c>
      <c r="I30" s="37" t="s">
        <v>290</v>
      </c>
      <c r="J30" s="48" t="s">
        <v>291</v>
      </c>
      <c r="K30" s="40"/>
      <c r="L30" s="41"/>
      <c r="M30" s="41"/>
      <c r="N30" s="41"/>
      <c r="O30" s="40" t="s">
        <v>292</v>
      </c>
      <c r="P30" s="37" t="s">
        <v>293</v>
      </c>
      <c r="Q30" s="37" t="s">
        <v>294</v>
      </c>
      <c r="R30" s="37" t="s">
        <v>295</v>
      </c>
      <c r="S30" s="35" t="s">
        <v>296</v>
      </c>
      <c r="U30" s="35" t="s">
        <v>297</v>
      </c>
    </row>
    <row r="31" customFormat="false" ht="59.7" hidden="false" customHeight="false" outlineLevel="0" collapsed="false">
      <c r="A31" s="37" t="s">
        <v>298</v>
      </c>
      <c r="B31" s="37" t="n">
        <v>13</v>
      </c>
      <c r="C31" s="44" t="n">
        <v>25.1</v>
      </c>
      <c r="D31" s="37" t="s">
        <v>299</v>
      </c>
      <c r="E31" s="37"/>
      <c r="F31" s="37"/>
      <c r="G31" s="37" t="n">
        <v>1110358</v>
      </c>
      <c r="H31" s="37" t="s">
        <v>207</v>
      </c>
      <c r="I31" s="37" t="s">
        <v>208</v>
      </c>
      <c r="J31" s="43" t="s">
        <v>99</v>
      </c>
      <c r="K31" s="40"/>
      <c r="L31" s="41"/>
      <c r="M31" s="41"/>
      <c r="N31" s="41"/>
      <c r="O31" s="40" t="s">
        <v>300</v>
      </c>
      <c r="P31" s="37" t="s">
        <v>154</v>
      </c>
      <c r="Q31" s="37" t="s">
        <v>219</v>
      </c>
      <c r="R31" s="37" t="s">
        <v>220</v>
      </c>
      <c r="S31" s="38" t="s">
        <v>301</v>
      </c>
      <c r="T31" s="35" t="s">
        <v>302</v>
      </c>
    </row>
    <row r="32" customFormat="false" ht="29.85" hidden="false" customHeight="false" outlineLevel="0" collapsed="false">
      <c r="A32" s="37" t="s">
        <v>303</v>
      </c>
      <c r="B32" s="37" t="n">
        <v>16</v>
      </c>
      <c r="C32" s="44" t="n">
        <v>25.1</v>
      </c>
      <c r="D32" s="37" t="s">
        <v>304</v>
      </c>
      <c r="E32" s="37"/>
      <c r="F32" s="37"/>
      <c r="G32" s="37" t="n">
        <v>1268556</v>
      </c>
      <c r="H32" s="37" t="s">
        <v>305</v>
      </c>
      <c r="I32" s="37" t="s">
        <v>306</v>
      </c>
      <c r="J32" s="45" t="s">
        <v>122</v>
      </c>
      <c r="K32" s="40"/>
      <c r="L32" s="41"/>
      <c r="M32" s="41"/>
      <c r="N32" s="41"/>
      <c r="O32" s="40" t="s">
        <v>307</v>
      </c>
      <c r="P32" s="37" t="s">
        <v>308</v>
      </c>
      <c r="Q32" s="37" t="s">
        <v>103</v>
      </c>
      <c r="R32" s="42" t="s">
        <v>104</v>
      </c>
    </row>
    <row r="33" customFormat="false" ht="14.9" hidden="false" customHeight="false" outlineLevel="0" collapsed="false">
      <c r="A33" s="50" t="s">
        <v>309</v>
      </c>
      <c r="B33" s="37" t="n">
        <v>22</v>
      </c>
      <c r="C33" s="44" t="n">
        <v>25.1</v>
      </c>
      <c r="D33" s="37" t="n">
        <v>1904</v>
      </c>
      <c r="E33" s="37"/>
      <c r="F33" s="37"/>
      <c r="G33" s="37" t="n">
        <v>105851</v>
      </c>
      <c r="H33" s="37" t="s">
        <v>270</v>
      </c>
      <c r="I33" s="37" t="s">
        <v>270</v>
      </c>
      <c r="J33" s="48" t="s">
        <v>237</v>
      </c>
      <c r="K33" s="40"/>
      <c r="L33" s="41"/>
      <c r="M33" s="41"/>
      <c r="N33" s="41"/>
      <c r="O33" s="40" t="s">
        <v>310</v>
      </c>
      <c r="P33" s="37" t="s">
        <v>193</v>
      </c>
      <c r="Q33" s="37" t="s">
        <v>240</v>
      </c>
      <c r="R33" s="37" t="s">
        <v>241</v>
      </c>
      <c r="S33" s="35" t="s">
        <v>311</v>
      </c>
    </row>
    <row r="34" customFormat="false" ht="14.9" hidden="false" customHeight="false" outlineLevel="0" collapsed="false">
      <c r="A34" s="50" t="s">
        <v>312</v>
      </c>
      <c r="B34" s="37" t="n">
        <v>23</v>
      </c>
      <c r="C34" s="44" t="n">
        <v>25.1</v>
      </c>
      <c r="D34" s="37" t="s">
        <v>313</v>
      </c>
      <c r="E34" s="37"/>
      <c r="F34" s="37"/>
      <c r="G34" s="37" t="n">
        <v>411357</v>
      </c>
      <c r="H34" s="37" t="s">
        <v>270</v>
      </c>
      <c r="I34" s="37" t="s">
        <v>270</v>
      </c>
      <c r="J34" s="39" t="s">
        <v>64</v>
      </c>
      <c r="K34" s="40"/>
      <c r="L34" s="41"/>
      <c r="M34" s="41"/>
      <c r="N34" s="41"/>
      <c r="O34" s="40" t="s">
        <v>314</v>
      </c>
      <c r="P34" s="37" t="s">
        <v>315</v>
      </c>
      <c r="Q34" s="37" t="s">
        <v>316</v>
      </c>
      <c r="R34" s="37" t="s">
        <v>317</v>
      </c>
    </row>
  </sheetData>
  <autoFilter ref="A1:R34">
    <sortState ref="A2:R34">
      <sortCondition ref="A2:A34" customList=""/>
    </sortState>
  </autoFilter>
  <hyperlinks>
    <hyperlink ref="R3" r:id="rId1" display="https://doi.org/10.1073/pnas.1501568112"/>
    <hyperlink ref="R8" r:id="rId2" display="https://doi.org/10.1016/j.gca.2015.09.004"/>
    <hyperlink ref="R9" r:id="rId3" display="https://doi.org/10.1128/AEM.02758-10"/>
    <hyperlink ref="R10" r:id="rId4" display="https://doi.org/10.1016/j.gca.2015.09.004"/>
    <hyperlink ref="R13" r:id="rId5" display="https://doi.org/10.1128/AEM.02758-10"/>
    <hyperlink ref="R15" r:id="rId6" display="https://doi.org/10.1128/AEM.02758-10"/>
    <hyperlink ref="R21" r:id="rId7" display="https://doi.org/10.1128/AEM.01681-12"/>
    <hyperlink ref="R32" r:id="rId8" display="https://doi.org/10.1111/1462-2920.1375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206E"/>
    <pageSetUpPr fitToPage="false"/>
  </sheetPr>
  <dimension ref="A1:CE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" topLeftCell="V194" activePane="bottomRight" state="frozen"/>
      <selection pane="topLeft" activeCell="A1" activeCellId="0" sqref="A1"/>
      <selection pane="topRight" activeCell="V1" activeCellId="0" sqref="V1"/>
      <selection pane="bottomLeft" activeCell="A194" activeCellId="0" sqref="A194"/>
      <selection pane="bottomRight" activeCell="W217" activeCellId="0" sqref="W217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77.14"/>
    <col collapsed="false" customWidth="true" hidden="false" outlineLevel="0" max="2" min="2" style="51" width="24.43"/>
    <col collapsed="false" customWidth="true" hidden="false" outlineLevel="0" max="4" min="3" style="1" width="45"/>
    <col collapsed="false" customWidth="true" hidden="false" outlineLevel="0" max="5" min="5" style="1" width="21"/>
    <col collapsed="false" customWidth="true" hidden="false" outlineLevel="0" max="7" min="6" style="1" width="18.14"/>
    <col collapsed="false" customWidth="true" hidden="false" outlineLevel="0" max="8" min="8" style="1" width="23.28"/>
    <col collapsed="false" customWidth="true" hidden="false" outlineLevel="0" max="10" min="9" style="1" width="18.43"/>
    <col collapsed="false" customWidth="true" hidden="false" outlineLevel="0" max="11" min="11" style="1" width="19.43"/>
    <col collapsed="false" customWidth="true" hidden="false" outlineLevel="0" max="12" min="12" style="1" width="18.43"/>
    <col collapsed="false" customWidth="true" hidden="false" outlineLevel="0" max="13" min="13" style="1" width="29.43"/>
    <col collapsed="false" customWidth="true" hidden="false" outlineLevel="0" max="14" min="14" style="1" width="30.57"/>
    <col collapsed="false" customWidth="true" hidden="false" outlineLevel="0" max="16" min="15" style="1" width="27.72"/>
    <col collapsed="false" customWidth="true" hidden="false" outlineLevel="0" max="19" min="17" style="1" width="22.86"/>
    <col collapsed="false" customWidth="true" hidden="false" outlineLevel="0" max="20" min="20" style="1" width="21"/>
    <col collapsed="false" customWidth="true" hidden="false" outlineLevel="0" max="22" min="21" style="1" width="28.43"/>
    <col collapsed="false" customWidth="true" hidden="false" outlineLevel="0" max="23" min="23" style="1" width="14.29"/>
    <col collapsed="false" customWidth="true" hidden="false" outlineLevel="0" max="25" min="25" style="1" width="5.57"/>
    <col collapsed="false" customWidth="true" hidden="false" outlineLevel="0" max="26" min="26" style="1" width="16.57"/>
    <col collapsed="false" customWidth="true" hidden="false" outlineLevel="0" max="27" min="27" style="1" width="28.14"/>
    <col collapsed="false" customWidth="true" hidden="false" outlineLevel="0" max="30" min="28" style="1" width="13.3"/>
    <col collapsed="false" customWidth="true" hidden="false" outlineLevel="0" max="31" min="31" style="1" width="23.57"/>
    <col collapsed="false" customWidth="true" hidden="false" outlineLevel="0" max="32" min="32" style="1" width="24.2"/>
    <col collapsed="false" customWidth="true" hidden="false" outlineLevel="0" max="33" min="33" style="51" width="18.86"/>
    <col collapsed="false" customWidth="true" hidden="false" outlineLevel="0" max="34" min="34" style="52" width="53.57"/>
    <col collapsed="false" customWidth="true" hidden="false" outlineLevel="0" max="35" min="35" style="51" width="16.57"/>
    <col collapsed="false" customWidth="true" hidden="false" outlineLevel="0" max="36" min="36" style="1" width="44.48"/>
    <col collapsed="false" customWidth="true" hidden="false" outlineLevel="0" max="37" min="37" style="1" width="16.57"/>
    <col collapsed="false" customWidth="true" hidden="false" outlineLevel="0" max="38" min="38" style="53" width="16.29"/>
    <col collapsed="false" customWidth="true" hidden="false" outlineLevel="0" max="40" min="39" style="53" width="13.7"/>
    <col collapsed="false" customWidth="true" hidden="false" outlineLevel="0" max="41" min="41" style="53" width="12.67"/>
    <col collapsed="false" customWidth="true" hidden="false" outlineLevel="0" max="42" min="42" style="53" width="14.75"/>
    <col collapsed="false" customWidth="true" hidden="false" outlineLevel="0" max="43" min="43" style="53" width="20.14"/>
    <col collapsed="false" customWidth="true" hidden="false" outlineLevel="0" max="52" min="44" style="53" width="12.29"/>
    <col collapsed="false" customWidth="true" hidden="false" outlineLevel="0" max="58" min="53" style="53" width="11.79"/>
    <col collapsed="false" customWidth="true" hidden="false" outlineLevel="0" max="60" min="60" style="1" width="16.43"/>
    <col collapsed="false" customWidth="true" hidden="false" outlineLevel="0" max="61" min="61" style="1" width="18.57"/>
    <col collapsed="false" customWidth="true" hidden="false" outlineLevel="0" max="62" min="62" style="1" width="56.15"/>
    <col collapsed="false" customWidth="true" hidden="false" outlineLevel="0" max="63" min="63" style="34" width="35.22"/>
    <col collapsed="false" customWidth="true" hidden="false" outlineLevel="0" max="64" min="64" style="1" width="64"/>
    <col collapsed="false" customWidth="true" hidden="false" outlineLevel="0" max="67" min="67" style="1" width="13.93"/>
    <col collapsed="false" customWidth="true" hidden="false" outlineLevel="0" max="69" min="69" style="1" width="19.28"/>
    <col collapsed="false" customWidth="true" hidden="false" outlineLevel="0" max="70" min="70" style="1" width="60.29"/>
    <col collapsed="false" customWidth="true" hidden="false" outlineLevel="0" max="71" min="71" style="1" width="24.86"/>
    <col collapsed="false" customWidth="true" hidden="false" outlineLevel="0" max="72" min="72" style="1" width="28.14"/>
    <col collapsed="false" customWidth="true" hidden="false" outlineLevel="0" max="73" min="73" style="1" width="11"/>
    <col collapsed="false" customWidth="true" hidden="false" outlineLevel="0" max="74" min="74" style="1" width="38.29"/>
    <col collapsed="false" customWidth="true" hidden="false" outlineLevel="0" max="75" min="75" style="1" width="54.85"/>
    <col collapsed="false" customWidth="true" hidden="false" outlineLevel="0" max="80" min="80" style="1" width="20.72"/>
    <col collapsed="false" customWidth="true" hidden="false" outlineLevel="0" max="82" min="82" style="1" width="39.72"/>
    <col collapsed="false" customWidth="true" hidden="false" outlineLevel="0" max="83" min="83" style="1" width="54.85"/>
  </cols>
  <sheetData>
    <row r="1" s="61" customFormat="true" ht="187.45" hidden="false" customHeight="false" outlineLevel="0" collapsed="false">
      <c r="A1" s="54" t="s">
        <v>318</v>
      </c>
      <c r="B1" s="55" t="s">
        <v>40</v>
      </c>
      <c r="C1" s="54" t="s">
        <v>37</v>
      </c>
      <c r="D1" s="54" t="s">
        <v>319</v>
      </c>
      <c r="E1" s="56" t="s">
        <v>320</v>
      </c>
      <c r="F1" s="56" t="s">
        <v>12</v>
      </c>
      <c r="G1" s="56" t="s">
        <v>13</v>
      </c>
      <c r="H1" s="56" t="s">
        <v>321</v>
      </c>
      <c r="I1" s="56" t="s">
        <v>322</v>
      </c>
      <c r="J1" s="56" t="s">
        <v>323</v>
      </c>
      <c r="K1" s="54" t="s">
        <v>324</v>
      </c>
      <c r="L1" s="54" t="s">
        <v>325</v>
      </c>
      <c r="M1" s="54" t="s">
        <v>326</v>
      </c>
      <c r="N1" s="54" t="s">
        <v>11</v>
      </c>
      <c r="O1" s="54" t="s">
        <v>327</v>
      </c>
      <c r="P1" s="54" t="s">
        <v>328</v>
      </c>
      <c r="Q1" s="54" t="s">
        <v>329</v>
      </c>
      <c r="R1" s="54" t="s">
        <v>44</v>
      </c>
      <c r="S1" s="54" t="s">
        <v>45</v>
      </c>
      <c r="T1" s="54" t="s">
        <v>330</v>
      </c>
      <c r="U1" s="54" t="s">
        <v>331</v>
      </c>
      <c r="V1" s="54" t="s">
        <v>332</v>
      </c>
      <c r="W1" s="54" t="s">
        <v>333</v>
      </c>
      <c r="X1" s="54" t="s">
        <v>9</v>
      </c>
      <c r="Y1" s="54" t="s">
        <v>1</v>
      </c>
      <c r="Z1" s="54" t="s">
        <v>334</v>
      </c>
      <c r="AA1" s="54" t="s">
        <v>335</v>
      </c>
      <c r="AB1" s="54" t="s">
        <v>336</v>
      </c>
      <c r="AC1" s="54" t="s">
        <v>337</v>
      </c>
      <c r="AD1" s="54" t="s">
        <v>338</v>
      </c>
      <c r="AE1" s="54" t="s">
        <v>339</v>
      </c>
      <c r="AF1" s="54" t="s">
        <v>340</v>
      </c>
      <c r="AG1" s="55" t="s">
        <v>341</v>
      </c>
      <c r="AH1" s="57" t="s">
        <v>342</v>
      </c>
      <c r="AI1" s="55" t="s">
        <v>343</v>
      </c>
      <c r="AJ1" s="54" t="s">
        <v>344</v>
      </c>
      <c r="AK1" s="54" t="s">
        <v>345</v>
      </c>
      <c r="AL1" s="58" t="s">
        <v>346</v>
      </c>
      <c r="AM1" s="58" t="s">
        <v>347</v>
      </c>
      <c r="AN1" s="58" t="s">
        <v>348</v>
      </c>
      <c r="AO1" s="58" t="s">
        <v>349</v>
      </c>
      <c r="AP1" s="58" t="s">
        <v>350</v>
      </c>
      <c r="AQ1" s="58" t="s">
        <v>351</v>
      </c>
      <c r="AR1" s="58" t="s">
        <v>352</v>
      </c>
      <c r="AS1" s="58" t="s">
        <v>353</v>
      </c>
      <c r="AT1" s="58" t="s">
        <v>354</v>
      </c>
      <c r="AU1" s="58" t="s">
        <v>355</v>
      </c>
      <c r="AV1" s="59" t="s">
        <v>356</v>
      </c>
      <c r="AW1" s="59" t="s">
        <v>357</v>
      </c>
      <c r="AX1" s="59" t="s">
        <v>358</v>
      </c>
      <c r="AY1" s="59" t="s">
        <v>359</v>
      </c>
      <c r="AZ1" s="59" t="s">
        <v>360</v>
      </c>
      <c r="BA1" s="58" t="s">
        <v>361</v>
      </c>
      <c r="BB1" s="58" t="s">
        <v>362</v>
      </c>
      <c r="BC1" s="58" t="s">
        <v>363</v>
      </c>
      <c r="BD1" s="58" t="s">
        <v>364</v>
      </c>
      <c r="BE1" s="58" t="s">
        <v>365</v>
      </c>
      <c r="BF1" s="58" t="s">
        <v>366</v>
      </c>
      <c r="BG1" s="54" t="s">
        <v>367</v>
      </c>
      <c r="BH1" s="54" t="s">
        <v>368</v>
      </c>
      <c r="BI1" s="54" t="s">
        <v>369</v>
      </c>
      <c r="BJ1" s="54" t="s">
        <v>53</v>
      </c>
      <c r="BK1" s="60" t="s">
        <v>2</v>
      </c>
      <c r="BL1" s="54" t="s">
        <v>370</v>
      </c>
      <c r="BM1" s="54" t="s">
        <v>371</v>
      </c>
      <c r="BN1" s="54" t="s">
        <v>372</v>
      </c>
      <c r="BO1" s="54" t="s">
        <v>373</v>
      </c>
      <c r="BP1" s="54" t="s">
        <v>374</v>
      </c>
      <c r="BQ1" s="54" t="s">
        <v>375</v>
      </c>
      <c r="BR1" s="54" t="s">
        <v>376</v>
      </c>
      <c r="BS1" s="54" t="s">
        <v>377</v>
      </c>
      <c r="BT1" s="54" t="s">
        <v>378</v>
      </c>
      <c r="BU1" s="54" t="s">
        <v>379</v>
      </c>
      <c r="BV1" s="54" t="s">
        <v>54</v>
      </c>
      <c r="BW1" s="54" t="s">
        <v>380</v>
      </c>
    </row>
    <row r="2" customFormat="false" ht="14.9" hidden="false" customHeight="false" outlineLevel="0" collapsed="false">
      <c r="A2" s="37" t="s">
        <v>381</v>
      </c>
      <c r="B2" s="62" t="s">
        <v>189</v>
      </c>
      <c r="C2" s="37" t="s">
        <v>188</v>
      </c>
      <c r="D2" s="37" t="n">
        <f aca="false">INDEX(Strain_IDs!C:C,MATCH(Table1[[#This Row],[Strains]],Strain_IDs!D:D,0))</f>
        <v>13</v>
      </c>
      <c r="E2" s="37" t="s">
        <v>382</v>
      </c>
      <c r="F2" s="37" t="s">
        <v>20</v>
      </c>
      <c r="G2" s="37" t="s">
        <v>21</v>
      </c>
      <c r="H2" s="37" t="s">
        <v>27</v>
      </c>
      <c r="I2" s="37" t="s">
        <v>383</v>
      </c>
      <c r="J2" s="37"/>
      <c r="K2" s="37" t="s">
        <v>384</v>
      </c>
      <c r="L2" s="37" t="s">
        <v>20</v>
      </c>
      <c r="M2" s="37" t="s">
        <v>385</v>
      </c>
      <c r="N2" s="37" t="s">
        <v>19</v>
      </c>
      <c r="O2" s="37" t="s">
        <v>383</v>
      </c>
      <c r="P2" s="37"/>
      <c r="Q2" s="37" t="s">
        <v>386</v>
      </c>
      <c r="R2" s="37" t="s">
        <v>62</v>
      </c>
      <c r="S2" s="37" t="s">
        <v>63</v>
      </c>
      <c r="T2" s="37" t="s">
        <v>387</v>
      </c>
      <c r="U2" s="37"/>
      <c r="V2" s="37"/>
      <c r="W2" s="37" t="s">
        <v>388</v>
      </c>
      <c r="X2" s="37" t="n">
        <v>37</v>
      </c>
      <c r="Y2" s="37"/>
      <c r="Z2" s="37"/>
      <c r="AA2" s="37"/>
      <c r="AB2" s="37"/>
      <c r="AC2" s="37"/>
      <c r="AD2" s="37"/>
      <c r="AE2" s="37"/>
      <c r="AF2" s="37" t="s">
        <v>389</v>
      </c>
      <c r="AG2" s="62" t="s">
        <v>390</v>
      </c>
      <c r="AH2" s="63" t="s">
        <v>391</v>
      </c>
      <c r="AI2" s="62"/>
      <c r="AJ2" s="37" t="s">
        <v>392</v>
      </c>
      <c r="AK2" s="37" t="n">
        <f aca="false">SUM(Table1[[#This Row],[reported_1302]:[reported_1286_iso]])</f>
        <v>25.4</v>
      </c>
      <c r="AL2" s="64" t="n">
        <v>0</v>
      </c>
      <c r="AM2" s="64" t="n">
        <v>0.6</v>
      </c>
      <c r="AN2" s="64" t="n">
        <v>2.8</v>
      </c>
      <c r="AO2" s="64" t="n">
        <v>5</v>
      </c>
      <c r="AP2" s="64" t="n">
        <v>4</v>
      </c>
      <c r="AQ2" s="64" t="n">
        <v>0</v>
      </c>
      <c r="AR2" s="64" t="n">
        <v>13</v>
      </c>
      <c r="AS2" s="64"/>
      <c r="AT2" s="64"/>
      <c r="AU2" s="64"/>
      <c r="AV2" s="64"/>
      <c r="AW2" s="64"/>
      <c r="AX2" s="64"/>
      <c r="AY2" s="64"/>
      <c r="AZ2" s="64"/>
      <c r="BA2" s="64" t="n">
        <f aca="false">AL2/SUM($AL2:$AQ2)</f>
        <v>0</v>
      </c>
      <c r="BB2" s="64" t="n">
        <f aca="false">AM2/SUM($AL2:$AQ2)</f>
        <v>0.0483870967741936</v>
      </c>
      <c r="BC2" s="64" t="n">
        <f aca="false">AN2/SUM($AL2:$AQ2)</f>
        <v>0.225806451612903</v>
      </c>
      <c r="BD2" s="64" t="n">
        <f aca="false">AO2/SUM($AL2:$AQ2)</f>
        <v>0.403225806451613</v>
      </c>
      <c r="BE2" s="64" t="n">
        <f aca="false">AP2/SUM($AL2:$AQ2)</f>
        <v>0.32258064516129</v>
      </c>
      <c r="BF2" s="64" t="n">
        <f aca="false">AQ2/SUM($AL2:$AQ2)</f>
        <v>0</v>
      </c>
      <c r="BG2" s="65" t="e">
        <f aca="false">#N/A</f>
        <v>#N/A</v>
      </c>
      <c r="BH2" s="37" t="s">
        <v>393</v>
      </c>
      <c r="BI2" s="37" t="s">
        <v>394</v>
      </c>
      <c r="BJ2" s="37" t="s">
        <v>395</v>
      </c>
      <c r="BK2" s="40" t="s">
        <v>4</v>
      </c>
      <c r="BL2" s="37" t="s">
        <v>396</v>
      </c>
      <c r="BM2" s="37" t="s">
        <v>397</v>
      </c>
      <c r="BN2" s="37" t="s">
        <v>397</v>
      </c>
      <c r="BO2" s="37" t="s">
        <v>398</v>
      </c>
      <c r="BP2" s="37" t="s">
        <v>397</v>
      </c>
      <c r="BQ2" s="37" t="s">
        <v>399</v>
      </c>
      <c r="BR2" s="37" t="s">
        <v>400</v>
      </c>
      <c r="BS2" s="37" t="s">
        <v>400</v>
      </c>
      <c r="BT2" s="37" t="s">
        <v>194</v>
      </c>
      <c r="BU2" s="37" t="s">
        <v>401</v>
      </c>
      <c r="BV2" s="37" t="s">
        <v>195</v>
      </c>
      <c r="BW2" s="37" t="s">
        <v>402</v>
      </c>
    </row>
    <row r="3" customFormat="false" ht="14.9" hidden="false" customHeight="false" outlineLevel="0" collapsed="false">
      <c r="A3" s="37" t="s">
        <v>403</v>
      </c>
      <c r="B3" s="62" t="s">
        <v>189</v>
      </c>
      <c r="C3" s="37" t="s">
        <v>188</v>
      </c>
      <c r="D3" s="37" t="n">
        <f aca="false">INDEX(Strain_IDs!C:C,MATCH(Table1[[#This Row],[Strains]],Strain_IDs!D:D,0))</f>
        <v>13</v>
      </c>
      <c r="E3" s="37" t="s">
        <v>382</v>
      </c>
      <c r="F3" s="37" t="s">
        <v>20</v>
      </c>
      <c r="G3" s="37" t="s">
        <v>21</v>
      </c>
      <c r="H3" s="37" t="s">
        <v>27</v>
      </c>
      <c r="I3" s="37" t="s">
        <v>383</v>
      </c>
      <c r="J3" s="37"/>
      <c r="K3" s="37" t="s">
        <v>384</v>
      </c>
      <c r="L3" s="37" t="s">
        <v>20</v>
      </c>
      <c r="M3" s="37" t="s">
        <v>385</v>
      </c>
      <c r="N3" s="37" t="s">
        <v>19</v>
      </c>
      <c r="O3" s="37" t="s">
        <v>383</v>
      </c>
      <c r="P3" s="37"/>
      <c r="Q3" s="37" t="s">
        <v>386</v>
      </c>
      <c r="R3" s="37" t="s">
        <v>62</v>
      </c>
      <c r="S3" s="37" t="s">
        <v>63</v>
      </c>
      <c r="T3" s="37" t="s">
        <v>387</v>
      </c>
      <c r="U3" s="37"/>
      <c r="V3" s="37"/>
      <c r="W3" s="37" t="s">
        <v>404</v>
      </c>
      <c r="X3" s="37" t="n">
        <v>46</v>
      </c>
      <c r="Y3" s="37"/>
      <c r="Z3" s="37"/>
      <c r="AA3" s="37"/>
      <c r="AB3" s="37"/>
      <c r="AC3" s="37"/>
      <c r="AD3" s="37"/>
      <c r="AE3" s="37"/>
      <c r="AF3" s="37" t="s">
        <v>389</v>
      </c>
      <c r="AG3" s="62" t="s">
        <v>390</v>
      </c>
      <c r="AH3" s="63" t="s">
        <v>391</v>
      </c>
      <c r="AI3" s="62"/>
      <c r="AJ3" s="37" t="s">
        <v>392</v>
      </c>
      <c r="AK3" s="37" t="n">
        <f aca="false">SUM(Table1[[#This Row],[reported_1302]:[reported_1286_iso]])</f>
        <v>28.7</v>
      </c>
      <c r="AL3" s="64" t="n">
        <v>0</v>
      </c>
      <c r="AM3" s="64" t="n">
        <v>0.3</v>
      </c>
      <c r="AN3" s="64" t="n">
        <v>1.9</v>
      </c>
      <c r="AO3" s="64" t="n">
        <v>4.5</v>
      </c>
      <c r="AP3" s="64" t="n">
        <v>11</v>
      </c>
      <c r="AQ3" s="64" t="n">
        <v>0</v>
      </c>
      <c r="AR3" s="64" t="n">
        <v>11</v>
      </c>
      <c r="AS3" s="64"/>
      <c r="AT3" s="64"/>
      <c r="AU3" s="64"/>
      <c r="AV3" s="64"/>
      <c r="AW3" s="64"/>
      <c r="AX3" s="64"/>
      <c r="AY3" s="64"/>
      <c r="AZ3" s="64"/>
      <c r="BA3" s="64" t="n">
        <f aca="false">AL3/SUM($AL3:$AQ3)</f>
        <v>0</v>
      </c>
      <c r="BB3" s="64" t="n">
        <f aca="false">AM3/SUM($AL3:$AQ3)</f>
        <v>0.0169491525423729</v>
      </c>
      <c r="BC3" s="64" t="n">
        <f aca="false">AN3/SUM($AL3:$AQ3)</f>
        <v>0.107344632768362</v>
      </c>
      <c r="BD3" s="64" t="n">
        <f aca="false">AO3/SUM($AL3:$AQ3)</f>
        <v>0.254237288135593</v>
      </c>
      <c r="BE3" s="64" t="n">
        <f aca="false">AP3/SUM($AL3:$AQ3)</f>
        <v>0.621468926553672</v>
      </c>
      <c r="BF3" s="64" t="n">
        <f aca="false">AQ3/SUM($AL3:$AQ3)</f>
        <v>0</v>
      </c>
      <c r="BG3" s="65" t="e">
        <f aca="false">#N/A</f>
        <v>#N/A</v>
      </c>
      <c r="BH3" s="37" t="s">
        <v>393</v>
      </c>
      <c r="BI3" s="37" t="s">
        <v>394</v>
      </c>
      <c r="BJ3" s="37" t="s">
        <v>395</v>
      </c>
      <c r="BK3" s="40" t="s">
        <v>4</v>
      </c>
      <c r="BL3" s="37" t="s">
        <v>396</v>
      </c>
      <c r="BM3" s="37" t="s">
        <v>397</v>
      </c>
      <c r="BN3" s="37" t="s">
        <v>397</v>
      </c>
      <c r="BO3" s="37" t="s">
        <v>398</v>
      </c>
      <c r="BP3" s="37" t="s">
        <v>397</v>
      </c>
      <c r="BQ3" s="37" t="s">
        <v>397</v>
      </c>
      <c r="BR3" s="37" t="s">
        <v>405</v>
      </c>
      <c r="BS3" s="37" t="s">
        <v>400</v>
      </c>
      <c r="BT3" s="37" t="s">
        <v>194</v>
      </c>
      <c r="BU3" s="37" t="s">
        <v>401</v>
      </c>
      <c r="BV3" s="37" t="s">
        <v>195</v>
      </c>
      <c r="BW3" s="37" t="s">
        <v>402</v>
      </c>
    </row>
    <row r="4" customFormat="false" ht="14.9" hidden="false" customHeight="false" outlineLevel="0" collapsed="false">
      <c r="A4" s="37" t="s">
        <v>406</v>
      </c>
      <c r="B4" s="62" t="s">
        <v>189</v>
      </c>
      <c r="C4" s="37" t="s">
        <v>188</v>
      </c>
      <c r="D4" s="37" t="n">
        <f aca="false">INDEX(Strain_IDs!C:C,MATCH(Table1[[#This Row],[Strains]],Strain_IDs!D:D,0))</f>
        <v>13</v>
      </c>
      <c r="E4" s="37" t="s">
        <v>382</v>
      </c>
      <c r="F4" s="37" t="s">
        <v>20</v>
      </c>
      <c r="G4" s="37" t="s">
        <v>21</v>
      </c>
      <c r="H4" s="37" t="s">
        <v>27</v>
      </c>
      <c r="I4" s="37" t="s">
        <v>383</v>
      </c>
      <c r="J4" s="37"/>
      <c r="K4" s="37" t="s">
        <v>384</v>
      </c>
      <c r="L4" s="37" t="s">
        <v>20</v>
      </c>
      <c r="M4" s="37" t="s">
        <v>385</v>
      </c>
      <c r="N4" s="37" t="s">
        <v>19</v>
      </c>
      <c r="O4" s="37" t="s">
        <v>383</v>
      </c>
      <c r="P4" s="37"/>
      <c r="Q4" s="37" t="s">
        <v>386</v>
      </c>
      <c r="R4" s="37" t="s">
        <v>62</v>
      </c>
      <c r="S4" s="37" t="s">
        <v>63</v>
      </c>
      <c r="T4" s="37" t="s">
        <v>387</v>
      </c>
      <c r="U4" s="37"/>
      <c r="V4" s="37"/>
      <c r="W4" s="37" t="s">
        <v>407</v>
      </c>
      <c r="X4" s="37" t="n">
        <v>50</v>
      </c>
      <c r="Y4" s="37"/>
      <c r="Z4" s="37"/>
      <c r="AA4" s="37"/>
      <c r="AB4" s="37"/>
      <c r="AC4" s="37"/>
      <c r="AD4" s="37"/>
      <c r="AE4" s="37"/>
      <c r="AF4" s="37" t="s">
        <v>389</v>
      </c>
      <c r="AG4" s="62" t="s">
        <v>390</v>
      </c>
      <c r="AH4" s="63" t="s">
        <v>391</v>
      </c>
      <c r="AI4" s="62"/>
      <c r="AJ4" s="37" t="s">
        <v>392</v>
      </c>
      <c r="AK4" s="37" t="n">
        <f aca="false">SUM(Table1[[#This Row],[reported_1302]:[reported_1286_iso]])</f>
        <v>35.6</v>
      </c>
      <c r="AL4" s="64" t="n">
        <v>0</v>
      </c>
      <c r="AM4" s="64" t="n">
        <v>0.1</v>
      </c>
      <c r="AN4" s="64" t="n">
        <v>2.8</v>
      </c>
      <c r="AO4" s="64" t="n">
        <v>5.7</v>
      </c>
      <c r="AP4" s="64" t="n">
        <v>14</v>
      </c>
      <c r="AQ4" s="64" t="n">
        <v>0</v>
      </c>
      <c r="AR4" s="64" t="n">
        <v>13</v>
      </c>
      <c r="AS4" s="64"/>
      <c r="AT4" s="64"/>
      <c r="AU4" s="64"/>
      <c r="AV4" s="64"/>
      <c r="AW4" s="64"/>
      <c r="AX4" s="64"/>
      <c r="AY4" s="64"/>
      <c r="AZ4" s="64"/>
      <c r="BA4" s="64" t="n">
        <f aca="false">AL4/SUM($AL4:$AQ4)</f>
        <v>0</v>
      </c>
      <c r="BB4" s="64" t="n">
        <f aca="false">AM4/SUM($AL4:$AQ4)</f>
        <v>0.00442477876106195</v>
      </c>
      <c r="BC4" s="64" t="n">
        <f aca="false">AN4/SUM($AL4:$AQ4)</f>
        <v>0.123893805309735</v>
      </c>
      <c r="BD4" s="64" t="n">
        <f aca="false">AO4/SUM($AL4:$AQ4)</f>
        <v>0.252212389380531</v>
      </c>
      <c r="BE4" s="64" t="n">
        <f aca="false">AP4/SUM($AL4:$AQ4)</f>
        <v>0.619469026548673</v>
      </c>
      <c r="BF4" s="64" t="n">
        <f aca="false">AQ4/SUM($AL4:$AQ4)</f>
        <v>0</v>
      </c>
      <c r="BG4" s="65" t="e">
        <f aca="false">#N/A</f>
        <v>#N/A</v>
      </c>
      <c r="BH4" s="37" t="s">
        <v>393</v>
      </c>
      <c r="BI4" s="37" t="s">
        <v>394</v>
      </c>
      <c r="BJ4" s="37" t="s">
        <v>395</v>
      </c>
      <c r="BK4" s="40" t="s">
        <v>4</v>
      </c>
      <c r="BL4" s="37" t="s">
        <v>396</v>
      </c>
      <c r="BM4" s="37" t="s">
        <v>397</v>
      </c>
      <c r="BN4" s="37" t="s">
        <v>397</v>
      </c>
      <c r="BO4" s="37" t="s">
        <v>398</v>
      </c>
      <c r="BP4" s="37" t="s">
        <v>397</v>
      </c>
      <c r="BQ4" s="37" t="s">
        <v>397</v>
      </c>
      <c r="BR4" s="37" t="s">
        <v>405</v>
      </c>
      <c r="BS4" s="37" t="s">
        <v>400</v>
      </c>
      <c r="BT4" s="37" t="s">
        <v>194</v>
      </c>
      <c r="BU4" s="37" t="s">
        <v>401</v>
      </c>
      <c r="BV4" s="37" t="s">
        <v>195</v>
      </c>
      <c r="BW4" s="37" t="s">
        <v>402</v>
      </c>
    </row>
    <row r="5" customFormat="false" ht="14.9" hidden="false" customHeight="false" outlineLevel="0" collapsed="false">
      <c r="A5" s="37" t="s">
        <v>408</v>
      </c>
      <c r="B5" s="62" t="s">
        <v>189</v>
      </c>
      <c r="C5" s="37" t="s">
        <v>188</v>
      </c>
      <c r="D5" s="37" t="n">
        <f aca="false">INDEX(Strain_IDs!C:C,MATCH(Table1[[#This Row],[Strains]],Strain_IDs!D:D,0))</f>
        <v>13</v>
      </c>
      <c r="E5" s="37" t="s">
        <v>382</v>
      </c>
      <c r="F5" s="37" t="s">
        <v>20</v>
      </c>
      <c r="G5" s="37" t="s">
        <v>21</v>
      </c>
      <c r="H5" s="37" t="s">
        <v>27</v>
      </c>
      <c r="I5" s="37" t="s">
        <v>383</v>
      </c>
      <c r="J5" s="37"/>
      <c r="K5" s="37" t="s">
        <v>384</v>
      </c>
      <c r="L5" s="37" t="s">
        <v>20</v>
      </c>
      <c r="M5" s="37" t="s">
        <v>385</v>
      </c>
      <c r="N5" s="37" t="s">
        <v>19</v>
      </c>
      <c r="O5" s="37" t="s">
        <v>383</v>
      </c>
      <c r="P5" s="37"/>
      <c r="Q5" s="37" t="s">
        <v>386</v>
      </c>
      <c r="R5" s="37" t="s">
        <v>62</v>
      </c>
      <c r="S5" s="37" t="s">
        <v>63</v>
      </c>
      <c r="T5" s="37" t="s">
        <v>387</v>
      </c>
      <c r="U5" s="37"/>
      <c r="V5" s="37"/>
      <c r="W5" s="37" t="s">
        <v>409</v>
      </c>
      <c r="X5" s="37" t="n">
        <v>37</v>
      </c>
      <c r="Y5" s="37"/>
      <c r="Z5" s="37"/>
      <c r="AA5" s="37"/>
      <c r="AB5" s="37"/>
      <c r="AC5" s="37"/>
      <c r="AD5" s="37"/>
      <c r="AE5" s="37"/>
      <c r="AF5" s="37" t="s">
        <v>389</v>
      </c>
      <c r="AG5" s="62" t="s">
        <v>390</v>
      </c>
      <c r="AH5" s="63" t="s">
        <v>410</v>
      </c>
      <c r="AI5" s="62"/>
      <c r="AJ5" s="37" t="s">
        <v>392</v>
      </c>
      <c r="AK5" s="37" t="n">
        <f aca="false">SUM(Table1[[#This Row],[reported_1302]:[reported_1286_iso]])</f>
        <v>36</v>
      </c>
      <c r="AL5" s="64" t="n">
        <v>7</v>
      </c>
      <c r="AM5" s="64" t="n">
        <v>9.2</v>
      </c>
      <c r="AN5" s="64" t="n">
        <v>3.8</v>
      </c>
      <c r="AO5" s="64" t="n">
        <v>1.8</v>
      </c>
      <c r="AP5" s="64" t="n">
        <v>14</v>
      </c>
      <c r="AQ5" s="64" t="n">
        <v>0</v>
      </c>
      <c r="AR5" s="64" t="n">
        <v>0.2</v>
      </c>
      <c r="AS5" s="64"/>
      <c r="AT5" s="64"/>
      <c r="AU5" s="64"/>
      <c r="AV5" s="64"/>
      <c r="AW5" s="64"/>
      <c r="AX5" s="64"/>
      <c r="AY5" s="64"/>
      <c r="AZ5" s="64"/>
      <c r="BA5" s="64" t="n">
        <f aca="false">AL5/SUM($AL5:$AQ5)</f>
        <v>0.195530726256983</v>
      </c>
      <c r="BB5" s="64" t="n">
        <f aca="false">AM5/SUM($AL5:$AQ5)</f>
        <v>0.256983240223464</v>
      </c>
      <c r="BC5" s="64" t="n">
        <f aca="false">AN5/SUM($AL5:$AQ5)</f>
        <v>0.106145251396648</v>
      </c>
      <c r="BD5" s="64" t="n">
        <f aca="false">AO5/SUM($AL5:$AQ5)</f>
        <v>0.0502793296089386</v>
      </c>
      <c r="BE5" s="64" t="n">
        <f aca="false">AP5/SUM($AL5:$AQ5)</f>
        <v>0.391061452513967</v>
      </c>
      <c r="BF5" s="64" t="n">
        <f aca="false">AQ5/SUM($AL5:$AQ5)</f>
        <v>0</v>
      </c>
      <c r="BG5" s="65" t="e">
        <f aca="false">#N/A</f>
        <v>#N/A</v>
      </c>
      <c r="BH5" s="37" t="s">
        <v>393</v>
      </c>
      <c r="BI5" s="37" t="s">
        <v>394</v>
      </c>
      <c r="BJ5" s="37" t="s">
        <v>395</v>
      </c>
      <c r="BK5" s="40" t="s">
        <v>4</v>
      </c>
      <c r="BL5" s="37" t="s">
        <v>396</v>
      </c>
      <c r="BM5" s="37" t="s">
        <v>397</v>
      </c>
      <c r="BN5" s="37" t="s">
        <v>397</v>
      </c>
      <c r="BO5" s="37" t="s">
        <v>398</v>
      </c>
      <c r="BP5" s="37" t="s">
        <v>397</v>
      </c>
      <c r="BQ5" s="37" t="s">
        <v>399</v>
      </c>
      <c r="BR5" s="37" t="s">
        <v>400</v>
      </c>
      <c r="BS5" s="37" t="s">
        <v>400</v>
      </c>
      <c r="BT5" s="37" t="s">
        <v>194</v>
      </c>
      <c r="BU5" s="37" t="s">
        <v>401</v>
      </c>
      <c r="BV5" s="37" t="s">
        <v>195</v>
      </c>
      <c r="BW5" s="37" t="s">
        <v>402</v>
      </c>
    </row>
    <row r="6" customFormat="false" ht="14.9" hidden="false" customHeight="false" outlineLevel="0" collapsed="false">
      <c r="A6" s="37" t="s">
        <v>411</v>
      </c>
      <c r="B6" s="62" t="s">
        <v>189</v>
      </c>
      <c r="C6" s="37" t="s">
        <v>188</v>
      </c>
      <c r="D6" s="37" t="n">
        <f aca="false">INDEX(Strain_IDs!C:C,MATCH(Table1[[#This Row],[Strains]],Strain_IDs!D:D,0))</f>
        <v>13</v>
      </c>
      <c r="E6" s="37" t="s">
        <v>382</v>
      </c>
      <c r="F6" s="37" t="s">
        <v>20</v>
      </c>
      <c r="G6" s="37" t="s">
        <v>21</v>
      </c>
      <c r="H6" s="37" t="s">
        <v>27</v>
      </c>
      <c r="I6" s="37" t="s">
        <v>383</v>
      </c>
      <c r="J6" s="37"/>
      <c r="K6" s="37" t="s">
        <v>384</v>
      </c>
      <c r="L6" s="37" t="s">
        <v>20</v>
      </c>
      <c r="M6" s="37" t="s">
        <v>385</v>
      </c>
      <c r="N6" s="37" t="s">
        <v>19</v>
      </c>
      <c r="O6" s="37" t="s">
        <v>383</v>
      </c>
      <c r="P6" s="37"/>
      <c r="Q6" s="37" t="s">
        <v>386</v>
      </c>
      <c r="R6" s="37" t="s">
        <v>62</v>
      </c>
      <c r="S6" s="37" t="s">
        <v>63</v>
      </c>
      <c r="T6" s="37" t="s">
        <v>387</v>
      </c>
      <c r="U6" s="37"/>
      <c r="V6" s="37"/>
      <c r="W6" s="37" t="s">
        <v>412</v>
      </c>
      <c r="X6" s="37" t="n">
        <v>46</v>
      </c>
      <c r="Y6" s="37"/>
      <c r="Z6" s="37"/>
      <c r="AA6" s="37"/>
      <c r="AB6" s="37"/>
      <c r="AC6" s="37"/>
      <c r="AD6" s="37"/>
      <c r="AE6" s="37"/>
      <c r="AF6" s="37" t="s">
        <v>389</v>
      </c>
      <c r="AG6" s="62" t="s">
        <v>390</v>
      </c>
      <c r="AH6" s="63" t="s">
        <v>410</v>
      </c>
      <c r="AI6" s="62"/>
      <c r="AJ6" s="37" t="s">
        <v>392</v>
      </c>
      <c r="AK6" s="37" t="n">
        <f aca="false">SUM(Table1[[#This Row],[reported_1302]:[reported_1286_iso]])</f>
        <v>33.2</v>
      </c>
      <c r="AL6" s="64" t="n">
        <v>0.7</v>
      </c>
      <c r="AM6" s="64" t="n">
        <v>1.4</v>
      </c>
      <c r="AN6" s="64" t="n">
        <v>1.3</v>
      </c>
      <c r="AO6" s="64" t="n">
        <v>0.8</v>
      </c>
      <c r="AP6" s="64" t="n">
        <v>29</v>
      </c>
      <c r="AQ6" s="64" t="n">
        <v>0</v>
      </c>
      <c r="AR6" s="64" t="n">
        <v>0</v>
      </c>
      <c r="AS6" s="64"/>
      <c r="AT6" s="64"/>
      <c r="AU6" s="64"/>
      <c r="AV6" s="64"/>
      <c r="AW6" s="64"/>
      <c r="AX6" s="64"/>
      <c r="AY6" s="64"/>
      <c r="AZ6" s="64"/>
      <c r="BA6" s="64" t="n">
        <f aca="false">AL6/SUM($AL6:$AQ6)</f>
        <v>0.0210843373493976</v>
      </c>
      <c r="BB6" s="64" t="n">
        <f aca="false">AM6/SUM($AL6:$AQ6)</f>
        <v>0.0421686746987952</v>
      </c>
      <c r="BC6" s="64" t="n">
        <f aca="false">AN6/SUM($AL6:$AQ6)</f>
        <v>0.0391566265060241</v>
      </c>
      <c r="BD6" s="64" t="n">
        <f aca="false">AO6/SUM($AL6:$AQ6)</f>
        <v>0.0240963855421687</v>
      </c>
      <c r="BE6" s="64" t="n">
        <f aca="false">AP6/SUM($AL6:$AQ6)</f>
        <v>0.873493975903614</v>
      </c>
      <c r="BF6" s="64" t="n">
        <f aca="false">AQ6/SUM($AL6:$AQ6)</f>
        <v>0</v>
      </c>
      <c r="BG6" s="65" t="e">
        <f aca="false">#N/A</f>
        <v>#N/A</v>
      </c>
      <c r="BH6" s="37" t="s">
        <v>393</v>
      </c>
      <c r="BI6" s="37" t="s">
        <v>394</v>
      </c>
      <c r="BJ6" s="37" t="s">
        <v>395</v>
      </c>
      <c r="BK6" s="40" t="s">
        <v>4</v>
      </c>
      <c r="BL6" s="37" t="s">
        <v>396</v>
      </c>
      <c r="BM6" s="37" t="s">
        <v>397</v>
      </c>
      <c r="BN6" s="37" t="s">
        <v>397</v>
      </c>
      <c r="BO6" s="37" t="s">
        <v>398</v>
      </c>
      <c r="BP6" s="37" t="s">
        <v>397</v>
      </c>
      <c r="BQ6" s="37" t="s">
        <v>397</v>
      </c>
      <c r="BR6" s="37" t="s">
        <v>405</v>
      </c>
      <c r="BS6" s="37" t="s">
        <v>400</v>
      </c>
      <c r="BT6" s="37" t="s">
        <v>194</v>
      </c>
      <c r="BU6" s="37" t="s">
        <v>401</v>
      </c>
      <c r="BV6" s="37" t="s">
        <v>195</v>
      </c>
      <c r="BW6" s="37" t="s">
        <v>402</v>
      </c>
    </row>
    <row r="7" customFormat="false" ht="14.9" hidden="false" customHeight="false" outlineLevel="0" collapsed="false">
      <c r="A7" s="37" t="s">
        <v>413</v>
      </c>
      <c r="B7" s="62" t="s">
        <v>189</v>
      </c>
      <c r="C7" s="37" t="s">
        <v>188</v>
      </c>
      <c r="D7" s="37" t="n">
        <f aca="false">INDEX(Strain_IDs!C:C,MATCH(Table1[[#This Row],[Strains]],Strain_IDs!D:D,0))</f>
        <v>13</v>
      </c>
      <c r="E7" s="37" t="s">
        <v>382</v>
      </c>
      <c r="F7" s="37" t="s">
        <v>20</v>
      </c>
      <c r="G7" s="37" t="s">
        <v>21</v>
      </c>
      <c r="H7" s="37" t="s">
        <v>27</v>
      </c>
      <c r="I7" s="37" t="s">
        <v>383</v>
      </c>
      <c r="J7" s="37"/>
      <c r="K7" s="37" t="s">
        <v>384</v>
      </c>
      <c r="L7" s="37" t="s">
        <v>20</v>
      </c>
      <c r="M7" s="37" t="s">
        <v>385</v>
      </c>
      <c r="N7" s="37" t="s">
        <v>19</v>
      </c>
      <c r="O7" s="37" t="s">
        <v>383</v>
      </c>
      <c r="P7" s="37"/>
      <c r="Q7" s="37" t="s">
        <v>386</v>
      </c>
      <c r="R7" s="37" t="s">
        <v>62</v>
      </c>
      <c r="S7" s="37" t="s">
        <v>63</v>
      </c>
      <c r="T7" s="37" t="s">
        <v>387</v>
      </c>
      <c r="U7" s="37"/>
      <c r="V7" s="37"/>
      <c r="W7" s="37" t="s">
        <v>414</v>
      </c>
      <c r="X7" s="37" t="n">
        <v>50</v>
      </c>
      <c r="Y7" s="37"/>
      <c r="Z7" s="37"/>
      <c r="AA7" s="37"/>
      <c r="AB7" s="37"/>
      <c r="AC7" s="37"/>
      <c r="AD7" s="37"/>
      <c r="AE7" s="37"/>
      <c r="AF7" s="37" t="s">
        <v>389</v>
      </c>
      <c r="AG7" s="62" t="s">
        <v>390</v>
      </c>
      <c r="AH7" s="63" t="s">
        <v>410</v>
      </c>
      <c r="AI7" s="62"/>
      <c r="AJ7" s="37" t="s">
        <v>392</v>
      </c>
      <c r="AK7" s="37" t="n">
        <f aca="false">SUM(Table1[[#This Row],[reported_1302]:[reported_1286_iso]])</f>
        <v>21.9</v>
      </c>
      <c r="AL7" s="64" t="n">
        <v>0.6</v>
      </c>
      <c r="AM7" s="64" t="n">
        <v>1</v>
      </c>
      <c r="AN7" s="64" t="n">
        <v>0.8</v>
      </c>
      <c r="AO7" s="64" t="n">
        <v>0.4</v>
      </c>
      <c r="AP7" s="64" t="n">
        <v>19</v>
      </c>
      <c r="AQ7" s="64" t="n">
        <v>0</v>
      </c>
      <c r="AR7" s="64" t="n">
        <v>0.1</v>
      </c>
      <c r="AS7" s="64"/>
      <c r="AT7" s="64"/>
      <c r="AU7" s="64"/>
      <c r="AV7" s="64"/>
      <c r="AW7" s="64"/>
      <c r="AX7" s="64"/>
      <c r="AY7" s="64"/>
      <c r="AZ7" s="64"/>
      <c r="BA7" s="64" t="n">
        <f aca="false">AL7/SUM($AL7:$AQ7)</f>
        <v>0.0275229357798165</v>
      </c>
      <c r="BB7" s="64" t="n">
        <f aca="false">AM7/SUM($AL7:$AQ7)</f>
        <v>0.0458715596330275</v>
      </c>
      <c r="BC7" s="64" t="n">
        <f aca="false">AN7/SUM($AL7:$AQ7)</f>
        <v>0.036697247706422</v>
      </c>
      <c r="BD7" s="64" t="n">
        <f aca="false">AO7/SUM($AL7:$AQ7)</f>
        <v>0.018348623853211</v>
      </c>
      <c r="BE7" s="64" t="n">
        <f aca="false">AP7/SUM($AL7:$AQ7)</f>
        <v>0.871559633027523</v>
      </c>
      <c r="BF7" s="64" t="n">
        <f aca="false">AQ7/SUM($AL7:$AQ7)</f>
        <v>0</v>
      </c>
      <c r="BG7" s="65" t="e">
        <f aca="false">#N/A</f>
        <v>#N/A</v>
      </c>
      <c r="BH7" s="37" t="s">
        <v>393</v>
      </c>
      <c r="BI7" s="37" t="s">
        <v>394</v>
      </c>
      <c r="BJ7" s="37" t="s">
        <v>395</v>
      </c>
      <c r="BK7" s="40" t="s">
        <v>4</v>
      </c>
      <c r="BL7" s="37" t="s">
        <v>396</v>
      </c>
      <c r="BM7" s="37" t="s">
        <v>397</v>
      </c>
      <c r="BN7" s="37" t="s">
        <v>397</v>
      </c>
      <c r="BO7" s="37" t="s">
        <v>398</v>
      </c>
      <c r="BP7" s="37" t="s">
        <v>397</v>
      </c>
      <c r="BQ7" s="37" t="s">
        <v>397</v>
      </c>
      <c r="BR7" s="37" t="s">
        <v>405</v>
      </c>
      <c r="BS7" s="37" t="s">
        <v>400</v>
      </c>
      <c r="BT7" s="37" t="s">
        <v>194</v>
      </c>
      <c r="BU7" s="37" t="s">
        <v>401</v>
      </c>
      <c r="BV7" s="37" t="s">
        <v>195</v>
      </c>
      <c r="BW7" s="37" t="s">
        <v>402</v>
      </c>
    </row>
    <row r="8" customFormat="false" ht="14.9" hidden="false" customHeight="false" outlineLevel="0" collapsed="false">
      <c r="A8" s="37" t="s">
        <v>415</v>
      </c>
      <c r="B8" s="62" t="s">
        <v>189</v>
      </c>
      <c r="C8" s="37" t="s">
        <v>188</v>
      </c>
      <c r="D8" s="37" t="n">
        <f aca="false">INDEX(Strain_IDs!C:C,MATCH(Table1[[#This Row],[Strains]],Strain_IDs!D:D,0))</f>
        <v>13</v>
      </c>
      <c r="E8" s="37" t="s">
        <v>382</v>
      </c>
      <c r="F8" s="37" t="s">
        <v>20</v>
      </c>
      <c r="G8" s="37" t="s">
        <v>21</v>
      </c>
      <c r="H8" s="37" t="s">
        <v>27</v>
      </c>
      <c r="I8" s="37" t="s">
        <v>383</v>
      </c>
      <c r="J8" s="37"/>
      <c r="K8" s="37" t="s">
        <v>384</v>
      </c>
      <c r="L8" s="37" t="s">
        <v>20</v>
      </c>
      <c r="M8" s="37" t="s">
        <v>385</v>
      </c>
      <c r="N8" s="37" t="s">
        <v>19</v>
      </c>
      <c r="O8" s="37" t="s">
        <v>383</v>
      </c>
      <c r="P8" s="37"/>
      <c r="Q8" s="37" t="s">
        <v>386</v>
      </c>
      <c r="R8" s="37" t="s">
        <v>62</v>
      </c>
      <c r="S8" s="37" t="s">
        <v>63</v>
      </c>
      <c r="T8" s="37" t="s">
        <v>387</v>
      </c>
      <c r="U8" s="37"/>
      <c r="V8" s="37"/>
      <c r="W8" s="37" t="s">
        <v>416</v>
      </c>
      <c r="X8" s="37" t="n">
        <v>37</v>
      </c>
      <c r="Y8" s="37"/>
      <c r="Z8" s="37"/>
      <c r="AA8" s="37"/>
      <c r="AB8" s="37"/>
      <c r="AC8" s="37"/>
      <c r="AD8" s="37"/>
      <c r="AE8" s="37"/>
      <c r="AF8" s="37" t="s">
        <v>389</v>
      </c>
      <c r="AG8" s="62" t="s">
        <v>390</v>
      </c>
      <c r="AH8" s="63" t="s">
        <v>417</v>
      </c>
      <c r="AI8" s="62"/>
      <c r="AJ8" s="37" t="s">
        <v>392</v>
      </c>
      <c r="AK8" s="37" t="n">
        <f aca="false">SUM(Table1[[#This Row],[reported_1302]:[reported_1286_iso]])</f>
        <v>4.3</v>
      </c>
      <c r="AL8" s="64" t="n">
        <v>0.5</v>
      </c>
      <c r="AM8" s="64" t="n">
        <v>0.6</v>
      </c>
      <c r="AN8" s="64" t="n">
        <v>0.5</v>
      </c>
      <c r="AO8" s="64" t="n">
        <v>0.6</v>
      </c>
      <c r="AP8" s="64" t="n">
        <v>1.6</v>
      </c>
      <c r="AQ8" s="64" t="n">
        <v>0</v>
      </c>
      <c r="AR8" s="64" t="n">
        <v>0.5</v>
      </c>
      <c r="AS8" s="64"/>
      <c r="AT8" s="64"/>
      <c r="AU8" s="64"/>
      <c r="AV8" s="64"/>
      <c r="AW8" s="64"/>
      <c r="AX8" s="64"/>
      <c r="AY8" s="64"/>
      <c r="AZ8" s="64"/>
      <c r="BA8" s="64" t="n">
        <f aca="false">AL8/SUM($AL8:$AQ8)</f>
        <v>0.131578947368421</v>
      </c>
      <c r="BB8" s="64" t="n">
        <f aca="false">AM8/SUM($AL8:$AQ8)</f>
        <v>0.157894736842105</v>
      </c>
      <c r="BC8" s="64" t="n">
        <f aca="false">AN8/SUM($AL8:$AQ8)</f>
        <v>0.131578947368421</v>
      </c>
      <c r="BD8" s="64" t="n">
        <f aca="false">AO8/SUM($AL8:$AQ8)</f>
        <v>0.157894736842105</v>
      </c>
      <c r="BE8" s="64" t="n">
        <f aca="false">AP8/SUM($AL8:$AQ8)</f>
        <v>0.421052631578947</v>
      </c>
      <c r="BF8" s="64" t="n">
        <f aca="false">AQ8/SUM($AL8:$AQ8)</f>
        <v>0</v>
      </c>
      <c r="BG8" s="65" t="e">
        <f aca="false">#N/A</f>
        <v>#N/A</v>
      </c>
      <c r="BH8" s="37" t="s">
        <v>393</v>
      </c>
      <c r="BI8" s="37" t="s">
        <v>394</v>
      </c>
      <c r="BJ8" s="37" t="s">
        <v>395</v>
      </c>
      <c r="BK8" s="40" t="s">
        <v>4</v>
      </c>
      <c r="BL8" s="37" t="s">
        <v>396</v>
      </c>
      <c r="BM8" s="37" t="s">
        <v>397</v>
      </c>
      <c r="BN8" s="37" t="s">
        <v>397</v>
      </c>
      <c r="BO8" s="37" t="s">
        <v>398</v>
      </c>
      <c r="BP8" s="37" t="s">
        <v>397</v>
      </c>
      <c r="BQ8" s="37" t="s">
        <v>399</v>
      </c>
      <c r="BR8" s="37" t="s">
        <v>400</v>
      </c>
      <c r="BS8" s="37" t="s">
        <v>400</v>
      </c>
      <c r="BT8" s="37" t="s">
        <v>194</v>
      </c>
      <c r="BU8" s="37" t="s">
        <v>401</v>
      </c>
      <c r="BV8" s="37" t="s">
        <v>195</v>
      </c>
      <c r="BW8" s="37" t="s">
        <v>402</v>
      </c>
    </row>
    <row r="9" customFormat="false" ht="14.9" hidden="false" customHeight="false" outlineLevel="0" collapsed="false">
      <c r="A9" s="37" t="s">
        <v>418</v>
      </c>
      <c r="B9" s="62" t="s">
        <v>189</v>
      </c>
      <c r="C9" s="37" t="s">
        <v>188</v>
      </c>
      <c r="D9" s="37" t="n">
        <f aca="false">INDEX(Strain_IDs!C:C,MATCH(Table1[[#This Row],[Strains]],Strain_IDs!D:D,0))</f>
        <v>13</v>
      </c>
      <c r="E9" s="37" t="s">
        <v>382</v>
      </c>
      <c r="F9" s="37" t="s">
        <v>20</v>
      </c>
      <c r="G9" s="37" t="s">
        <v>21</v>
      </c>
      <c r="H9" s="37" t="s">
        <v>27</v>
      </c>
      <c r="I9" s="37" t="s">
        <v>383</v>
      </c>
      <c r="J9" s="37"/>
      <c r="K9" s="37" t="s">
        <v>384</v>
      </c>
      <c r="L9" s="37" t="s">
        <v>20</v>
      </c>
      <c r="M9" s="37" t="s">
        <v>385</v>
      </c>
      <c r="N9" s="37" t="s">
        <v>19</v>
      </c>
      <c r="O9" s="37" t="s">
        <v>383</v>
      </c>
      <c r="P9" s="37"/>
      <c r="Q9" s="37" t="s">
        <v>386</v>
      </c>
      <c r="R9" s="37" t="s">
        <v>62</v>
      </c>
      <c r="S9" s="37" t="s">
        <v>63</v>
      </c>
      <c r="T9" s="37" t="s">
        <v>387</v>
      </c>
      <c r="U9" s="37"/>
      <c r="V9" s="37"/>
      <c r="W9" s="37" t="s">
        <v>419</v>
      </c>
      <c r="X9" s="37" t="n">
        <v>46</v>
      </c>
      <c r="Y9" s="37"/>
      <c r="Z9" s="37"/>
      <c r="AA9" s="37"/>
      <c r="AB9" s="37"/>
      <c r="AC9" s="37"/>
      <c r="AD9" s="37"/>
      <c r="AE9" s="37"/>
      <c r="AF9" s="37" t="s">
        <v>389</v>
      </c>
      <c r="AG9" s="62" t="s">
        <v>390</v>
      </c>
      <c r="AH9" s="63" t="s">
        <v>417</v>
      </c>
      <c r="AI9" s="62"/>
      <c r="AJ9" s="37" t="s">
        <v>392</v>
      </c>
      <c r="AK9" s="37" t="n">
        <f aca="false">SUM(Table1[[#This Row],[reported_1302]:[reported_1286_iso]])</f>
        <v>5.4</v>
      </c>
      <c r="AL9" s="64" t="n">
        <v>0.2</v>
      </c>
      <c r="AM9" s="64" t="n">
        <v>0.7</v>
      </c>
      <c r="AN9" s="64" t="n">
        <v>0.7</v>
      </c>
      <c r="AO9" s="64" t="n">
        <v>0.9</v>
      </c>
      <c r="AP9" s="64" t="n">
        <v>2.1</v>
      </c>
      <c r="AQ9" s="64" t="n">
        <v>0</v>
      </c>
      <c r="AR9" s="64" t="n">
        <v>0.8</v>
      </c>
      <c r="AS9" s="64"/>
      <c r="AT9" s="64"/>
      <c r="AU9" s="64"/>
      <c r="AV9" s="64"/>
      <c r="AW9" s="64"/>
      <c r="AX9" s="64"/>
      <c r="AY9" s="64"/>
      <c r="AZ9" s="64"/>
      <c r="BA9" s="64" t="n">
        <f aca="false">AL9/SUM($AL9:$AQ9)</f>
        <v>0.0434782608695652</v>
      </c>
      <c r="BB9" s="64" t="n">
        <f aca="false">AM9/SUM($AL9:$AQ9)</f>
        <v>0.152173913043478</v>
      </c>
      <c r="BC9" s="64" t="n">
        <f aca="false">AN9/SUM($AL9:$AQ9)</f>
        <v>0.152173913043478</v>
      </c>
      <c r="BD9" s="64" t="n">
        <f aca="false">AO9/SUM($AL9:$AQ9)</f>
        <v>0.195652173913044</v>
      </c>
      <c r="BE9" s="64" t="n">
        <f aca="false">AP9/SUM($AL9:$AQ9)</f>
        <v>0.456521739130435</v>
      </c>
      <c r="BF9" s="64" t="n">
        <f aca="false">AQ9/SUM($AL9:$AQ9)</f>
        <v>0</v>
      </c>
      <c r="BG9" s="65" t="e">
        <f aca="false">#N/A</f>
        <v>#N/A</v>
      </c>
      <c r="BH9" s="37" t="s">
        <v>393</v>
      </c>
      <c r="BI9" s="37" t="s">
        <v>394</v>
      </c>
      <c r="BJ9" s="37" t="s">
        <v>395</v>
      </c>
      <c r="BK9" s="40" t="s">
        <v>4</v>
      </c>
      <c r="BL9" s="37" t="s">
        <v>396</v>
      </c>
      <c r="BM9" s="37" t="s">
        <v>397</v>
      </c>
      <c r="BN9" s="37" t="s">
        <v>397</v>
      </c>
      <c r="BO9" s="37" t="s">
        <v>398</v>
      </c>
      <c r="BP9" s="37" t="s">
        <v>397</v>
      </c>
      <c r="BQ9" s="37" t="s">
        <v>399</v>
      </c>
      <c r="BR9" s="37" t="s">
        <v>400</v>
      </c>
      <c r="BS9" s="37" t="s">
        <v>400</v>
      </c>
      <c r="BT9" s="37" t="s">
        <v>194</v>
      </c>
      <c r="BU9" s="37" t="s">
        <v>401</v>
      </c>
      <c r="BV9" s="37" t="s">
        <v>195</v>
      </c>
      <c r="BW9" s="37" t="s">
        <v>402</v>
      </c>
    </row>
    <row r="10" customFormat="false" ht="14.9" hidden="false" customHeight="false" outlineLevel="0" collapsed="false">
      <c r="A10" s="37" t="s">
        <v>420</v>
      </c>
      <c r="B10" s="62" t="s">
        <v>189</v>
      </c>
      <c r="C10" s="37" t="s">
        <v>188</v>
      </c>
      <c r="D10" s="37" t="n">
        <f aca="false">INDEX(Strain_IDs!C:C,MATCH(Table1[[#This Row],[Strains]],Strain_IDs!D:D,0))</f>
        <v>13</v>
      </c>
      <c r="E10" s="37" t="s">
        <v>382</v>
      </c>
      <c r="F10" s="37" t="s">
        <v>20</v>
      </c>
      <c r="G10" s="37" t="s">
        <v>21</v>
      </c>
      <c r="H10" s="37" t="s">
        <v>27</v>
      </c>
      <c r="I10" s="37" t="s">
        <v>383</v>
      </c>
      <c r="J10" s="37"/>
      <c r="K10" s="37" t="s">
        <v>384</v>
      </c>
      <c r="L10" s="37" t="s">
        <v>20</v>
      </c>
      <c r="M10" s="37" t="s">
        <v>385</v>
      </c>
      <c r="N10" s="37" t="s">
        <v>19</v>
      </c>
      <c r="O10" s="37" t="s">
        <v>383</v>
      </c>
      <c r="P10" s="37"/>
      <c r="Q10" s="37" t="s">
        <v>386</v>
      </c>
      <c r="R10" s="37" t="s">
        <v>62</v>
      </c>
      <c r="S10" s="37" t="s">
        <v>63</v>
      </c>
      <c r="T10" s="37" t="s">
        <v>387</v>
      </c>
      <c r="U10" s="37"/>
      <c r="V10" s="37"/>
      <c r="W10" s="37" t="s">
        <v>421</v>
      </c>
      <c r="X10" s="37" t="n">
        <v>50</v>
      </c>
      <c r="Y10" s="37"/>
      <c r="Z10" s="37"/>
      <c r="AA10" s="37"/>
      <c r="AB10" s="37"/>
      <c r="AC10" s="37"/>
      <c r="AD10" s="37"/>
      <c r="AE10" s="37"/>
      <c r="AF10" s="37" t="s">
        <v>389</v>
      </c>
      <c r="AG10" s="62" t="s">
        <v>390</v>
      </c>
      <c r="AH10" s="63" t="s">
        <v>417</v>
      </c>
      <c r="AI10" s="62"/>
      <c r="AJ10" s="37" t="s">
        <v>392</v>
      </c>
      <c r="AK10" s="37" t="n">
        <f aca="false">SUM(Table1[[#This Row],[reported_1302]:[reported_1286_iso]])</f>
        <v>10.2</v>
      </c>
      <c r="AL10" s="64" t="n">
        <v>0.5</v>
      </c>
      <c r="AM10" s="64" t="n">
        <v>0.9</v>
      </c>
      <c r="AN10" s="64" t="n">
        <v>1</v>
      </c>
      <c r="AO10" s="64" t="n">
        <v>0.8</v>
      </c>
      <c r="AP10" s="64" t="n">
        <v>5.7</v>
      </c>
      <c r="AQ10" s="64" t="n">
        <v>0</v>
      </c>
      <c r="AR10" s="64" t="n">
        <v>1.3</v>
      </c>
      <c r="AS10" s="64"/>
      <c r="AT10" s="64"/>
      <c r="AU10" s="64"/>
      <c r="AV10" s="64"/>
      <c r="AW10" s="64"/>
      <c r="AX10" s="64"/>
      <c r="AY10" s="64"/>
      <c r="AZ10" s="64"/>
      <c r="BA10" s="64" t="n">
        <f aca="false">AL10/SUM($AL10:$AQ10)</f>
        <v>0.0561797752808989</v>
      </c>
      <c r="BB10" s="64" t="n">
        <f aca="false">AM10/SUM($AL10:$AQ10)</f>
        <v>0.101123595505618</v>
      </c>
      <c r="BC10" s="64" t="n">
        <f aca="false">AN10/SUM($AL10:$AQ10)</f>
        <v>0.112359550561798</v>
      </c>
      <c r="BD10" s="64" t="n">
        <f aca="false">AO10/SUM($AL10:$AQ10)</f>
        <v>0.0898876404494382</v>
      </c>
      <c r="BE10" s="64" t="n">
        <f aca="false">AP10/SUM($AL10:$AQ10)</f>
        <v>0.640449438202247</v>
      </c>
      <c r="BF10" s="64" t="n">
        <f aca="false">AQ10/SUM($AL10:$AQ10)</f>
        <v>0</v>
      </c>
      <c r="BG10" s="65" t="e">
        <f aca="false">#N/A</f>
        <v>#N/A</v>
      </c>
      <c r="BH10" s="37" t="s">
        <v>393</v>
      </c>
      <c r="BI10" s="37" t="s">
        <v>394</v>
      </c>
      <c r="BJ10" s="37" t="s">
        <v>395</v>
      </c>
      <c r="BK10" s="40" t="s">
        <v>4</v>
      </c>
      <c r="BL10" s="37" t="s">
        <v>396</v>
      </c>
      <c r="BM10" s="37" t="s">
        <v>397</v>
      </c>
      <c r="BN10" s="37" t="s">
        <v>397</v>
      </c>
      <c r="BO10" s="37" t="s">
        <v>398</v>
      </c>
      <c r="BP10" s="37" t="s">
        <v>397</v>
      </c>
      <c r="BQ10" s="37" t="s">
        <v>397</v>
      </c>
      <c r="BR10" s="37" t="s">
        <v>405</v>
      </c>
      <c r="BS10" s="37" t="s">
        <v>400</v>
      </c>
      <c r="BT10" s="37" t="s">
        <v>194</v>
      </c>
      <c r="BU10" s="37" t="s">
        <v>401</v>
      </c>
      <c r="BV10" s="37" t="s">
        <v>195</v>
      </c>
      <c r="BW10" s="37" t="s">
        <v>402</v>
      </c>
    </row>
    <row r="11" customFormat="false" ht="14.9" hidden="false" customHeight="false" outlineLevel="0" collapsed="false">
      <c r="A11" s="37" t="s">
        <v>422</v>
      </c>
      <c r="B11" s="62" t="s">
        <v>189</v>
      </c>
      <c r="C11" s="37" t="s">
        <v>188</v>
      </c>
      <c r="D11" s="37" t="n">
        <f aca="false">INDEX(Strain_IDs!C:C,MATCH(Table1[[#This Row],[Strains]],Strain_IDs!D:D,0))</f>
        <v>13</v>
      </c>
      <c r="E11" s="37" t="s">
        <v>382</v>
      </c>
      <c r="F11" s="37" t="s">
        <v>20</v>
      </c>
      <c r="G11" s="37" t="s">
        <v>21</v>
      </c>
      <c r="H11" s="37" t="s">
        <v>27</v>
      </c>
      <c r="I11" s="37" t="s">
        <v>383</v>
      </c>
      <c r="J11" s="37"/>
      <c r="K11" s="37" t="s">
        <v>384</v>
      </c>
      <c r="L11" s="37" t="s">
        <v>20</v>
      </c>
      <c r="M11" s="37" t="s">
        <v>385</v>
      </c>
      <c r="N11" s="37" t="s">
        <v>19</v>
      </c>
      <c r="O11" s="37" t="s">
        <v>383</v>
      </c>
      <c r="P11" s="37"/>
      <c r="Q11" s="37" t="s">
        <v>386</v>
      </c>
      <c r="R11" s="37" t="s">
        <v>62</v>
      </c>
      <c r="S11" s="37" t="s">
        <v>63</v>
      </c>
      <c r="T11" s="37" t="s">
        <v>387</v>
      </c>
      <c r="U11" s="37"/>
      <c r="V11" s="37"/>
      <c r="W11" s="37" t="s">
        <v>423</v>
      </c>
      <c r="X11" s="37" t="n">
        <v>37</v>
      </c>
      <c r="Y11" s="37"/>
      <c r="Z11" s="37"/>
      <c r="AA11" s="37"/>
      <c r="AB11" s="37"/>
      <c r="AC11" s="37"/>
      <c r="AD11" s="37"/>
      <c r="AE11" s="37"/>
      <c r="AF11" s="37" t="s">
        <v>389</v>
      </c>
      <c r="AG11" s="62" t="s">
        <v>390</v>
      </c>
      <c r="AH11" s="63" t="s">
        <v>424</v>
      </c>
      <c r="AI11" s="62"/>
      <c r="AJ11" s="37" t="s">
        <v>392</v>
      </c>
      <c r="AK11" s="37" t="n">
        <f aca="false">SUM(Table1[[#This Row],[reported_1302]:[reported_1286_iso]])</f>
        <v>22.3</v>
      </c>
      <c r="AL11" s="64" t="n">
        <v>0</v>
      </c>
      <c r="AM11" s="64" t="n">
        <v>0.8</v>
      </c>
      <c r="AN11" s="64" t="n">
        <v>3.4</v>
      </c>
      <c r="AO11" s="64" t="n">
        <v>7.1</v>
      </c>
      <c r="AP11" s="64" t="n">
        <v>1.1</v>
      </c>
      <c r="AQ11" s="64" t="n">
        <v>0</v>
      </c>
      <c r="AR11" s="64" t="n">
        <v>9.9</v>
      </c>
      <c r="AS11" s="64"/>
      <c r="AT11" s="64"/>
      <c r="AU11" s="64"/>
      <c r="AV11" s="64"/>
      <c r="AW11" s="64"/>
      <c r="AX11" s="64"/>
      <c r="AY11" s="64"/>
      <c r="AZ11" s="64"/>
      <c r="BA11" s="64" t="n">
        <f aca="false">AL11/SUM($AL11:$AQ11)</f>
        <v>0</v>
      </c>
      <c r="BB11" s="64" t="n">
        <f aca="false">AM11/SUM($AL11:$AQ11)</f>
        <v>0.0645161290322581</v>
      </c>
      <c r="BC11" s="64" t="n">
        <f aca="false">AN11/SUM($AL11:$AQ11)</f>
        <v>0.274193548387097</v>
      </c>
      <c r="BD11" s="64" t="n">
        <f aca="false">AO11/SUM($AL11:$AQ11)</f>
        <v>0.57258064516129</v>
      </c>
      <c r="BE11" s="64" t="n">
        <f aca="false">AP11/SUM($AL11:$AQ11)</f>
        <v>0.0887096774193548</v>
      </c>
      <c r="BF11" s="64" t="n">
        <f aca="false">AQ11/SUM($AL11:$AQ11)</f>
        <v>0</v>
      </c>
      <c r="BG11" s="65" t="e">
        <f aca="false">#N/A</f>
        <v>#N/A</v>
      </c>
      <c r="BH11" s="37" t="s">
        <v>393</v>
      </c>
      <c r="BI11" s="37" t="s">
        <v>394</v>
      </c>
      <c r="BJ11" s="37" t="s">
        <v>395</v>
      </c>
      <c r="BK11" s="40" t="s">
        <v>4</v>
      </c>
      <c r="BL11" s="37" t="s">
        <v>396</v>
      </c>
      <c r="BM11" s="37" t="s">
        <v>397</v>
      </c>
      <c r="BN11" s="37" t="s">
        <v>397</v>
      </c>
      <c r="BO11" s="37" t="s">
        <v>398</v>
      </c>
      <c r="BP11" s="37" t="s">
        <v>397</v>
      </c>
      <c r="BQ11" s="37" t="s">
        <v>399</v>
      </c>
      <c r="BR11" s="37" t="s">
        <v>400</v>
      </c>
      <c r="BS11" s="37" t="s">
        <v>400</v>
      </c>
      <c r="BT11" s="37" t="s">
        <v>194</v>
      </c>
      <c r="BU11" s="37" t="s">
        <v>401</v>
      </c>
      <c r="BV11" s="37" t="s">
        <v>195</v>
      </c>
      <c r="BW11" s="37" t="s">
        <v>402</v>
      </c>
    </row>
    <row r="12" customFormat="false" ht="14.9" hidden="false" customHeight="false" outlineLevel="0" collapsed="false">
      <c r="A12" s="37" t="s">
        <v>425</v>
      </c>
      <c r="B12" s="62" t="s">
        <v>189</v>
      </c>
      <c r="C12" s="37" t="s">
        <v>188</v>
      </c>
      <c r="D12" s="37" t="n">
        <f aca="false">INDEX(Strain_IDs!C:C,MATCH(Table1[[#This Row],[Strains]],Strain_IDs!D:D,0))</f>
        <v>13</v>
      </c>
      <c r="E12" s="37" t="s">
        <v>382</v>
      </c>
      <c r="F12" s="37" t="s">
        <v>20</v>
      </c>
      <c r="G12" s="37" t="s">
        <v>21</v>
      </c>
      <c r="H12" s="37" t="s">
        <v>27</v>
      </c>
      <c r="I12" s="37" t="s">
        <v>383</v>
      </c>
      <c r="J12" s="37"/>
      <c r="K12" s="37" t="s">
        <v>384</v>
      </c>
      <c r="L12" s="37" t="s">
        <v>20</v>
      </c>
      <c r="M12" s="37" t="s">
        <v>385</v>
      </c>
      <c r="N12" s="37" t="s">
        <v>19</v>
      </c>
      <c r="O12" s="37" t="s">
        <v>383</v>
      </c>
      <c r="P12" s="37"/>
      <c r="Q12" s="37" t="s">
        <v>386</v>
      </c>
      <c r="R12" s="37" t="s">
        <v>62</v>
      </c>
      <c r="S12" s="37" t="s">
        <v>63</v>
      </c>
      <c r="T12" s="37" t="s">
        <v>387</v>
      </c>
      <c r="U12" s="37"/>
      <c r="V12" s="37"/>
      <c r="W12" s="37" t="s">
        <v>426</v>
      </c>
      <c r="X12" s="37" t="n">
        <v>46</v>
      </c>
      <c r="Y12" s="37"/>
      <c r="Z12" s="37"/>
      <c r="AA12" s="37"/>
      <c r="AB12" s="37"/>
      <c r="AC12" s="37"/>
      <c r="AD12" s="37"/>
      <c r="AE12" s="37"/>
      <c r="AF12" s="37" t="s">
        <v>389</v>
      </c>
      <c r="AG12" s="62" t="s">
        <v>390</v>
      </c>
      <c r="AH12" s="63" t="s">
        <v>424</v>
      </c>
      <c r="AI12" s="62"/>
      <c r="AJ12" s="37" t="s">
        <v>392</v>
      </c>
      <c r="AK12" s="37" t="n">
        <f aca="false">SUM(Table1[[#This Row],[reported_1302]:[reported_1286_iso]])</f>
        <v>22.6</v>
      </c>
      <c r="AL12" s="64" t="n">
        <v>0</v>
      </c>
      <c r="AM12" s="64" t="n">
        <v>0.1</v>
      </c>
      <c r="AN12" s="64" t="n">
        <v>2.6</v>
      </c>
      <c r="AO12" s="64" t="n">
        <v>6.1</v>
      </c>
      <c r="AP12" s="64" t="n">
        <v>2.8</v>
      </c>
      <c r="AQ12" s="64" t="n">
        <v>0</v>
      </c>
      <c r="AR12" s="64" t="n">
        <v>11</v>
      </c>
      <c r="AS12" s="64"/>
      <c r="AT12" s="64"/>
      <c r="AU12" s="64"/>
      <c r="AV12" s="64"/>
      <c r="AW12" s="64"/>
      <c r="AX12" s="64"/>
      <c r="AY12" s="64"/>
      <c r="AZ12" s="64"/>
      <c r="BA12" s="64" t="n">
        <f aca="false">AL12/SUM($AL12:$AQ12)</f>
        <v>0</v>
      </c>
      <c r="BB12" s="64" t="n">
        <f aca="false">AM12/SUM($AL12:$AQ12)</f>
        <v>0.00862068965517241</v>
      </c>
      <c r="BC12" s="64" t="n">
        <f aca="false">AN12/SUM($AL12:$AQ12)</f>
        <v>0.224137931034483</v>
      </c>
      <c r="BD12" s="64" t="n">
        <f aca="false">AO12/SUM($AL12:$AQ12)</f>
        <v>0.525862068965517</v>
      </c>
      <c r="BE12" s="64" t="n">
        <f aca="false">AP12/SUM($AL12:$AQ12)</f>
        <v>0.241379310344828</v>
      </c>
      <c r="BF12" s="64" t="n">
        <f aca="false">AQ12/SUM($AL12:$AQ12)</f>
        <v>0</v>
      </c>
      <c r="BG12" s="65" t="e">
        <f aca="false">#N/A</f>
        <v>#N/A</v>
      </c>
      <c r="BH12" s="37" t="s">
        <v>393</v>
      </c>
      <c r="BI12" s="37" t="s">
        <v>394</v>
      </c>
      <c r="BJ12" s="37" t="s">
        <v>395</v>
      </c>
      <c r="BK12" s="40" t="s">
        <v>4</v>
      </c>
      <c r="BL12" s="37" t="s">
        <v>396</v>
      </c>
      <c r="BM12" s="37" t="s">
        <v>397</v>
      </c>
      <c r="BN12" s="37" t="s">
        <v>397</v>
      </c>
      <c r="BO12" s="37" t="s">
        <v>398</v>
      </c>
      <c r="BP12" s="37" t="s">
        <v>397</v>
      </c>
      <c r="BQ12" s="37" t="s">
        <v>399</v>
      </c>
      <c r="BR12" s="37" t="s">
        <v>400</v>
      </c>
      <c r="BS12" s="37" t="s">
        <v>400</v>
      </c>
      <c r="BT12" s="37" t="s">
        <v>194</v>
      </c>
      <c r="BU12" s="37" t="s">
        <v>401</v>
      </c>
      <c r="BV12" s="37" t="s">
        <v>195</v>
      </c>
      <c r="BW12" s="37" t="s">
        <v>402</v>
      </c>
    </row>
    <row r="13" customFormat="false" ht="14.9" hidden="false" customHeight="false" outlineLevel="0" collapsed="false">
      <c r="A13" s="37" t="s">
        <v>427</v>
      </c>
      <c r="B13" s="62" t="s">
        <v>189</v>
      </c>
      <c r="C13" s="37" t="s">
        <v>188</v>
      </c>
      <c r="D13" s="37" t="n">
        <f aca="false">INDEX(Strain_IDs!C:C,MATCH(Table1[[#This Row],[Strains]],Strain_IDs!D:D,0))</f>
        <v>13</v>
      </c>
      <c r="E13" s="37" t="s">
        <v>382</v>
      </c>
      <c r="F13" s="37" t="s">
        <v>20</v>
      </c>
      <c r="G13" s="37" t="s">
        <v>21</v>
      </c>
      <c r="H13" s="37" t="s">
        <v>27</v>
      </c>
      <c r="I13" s="37" t="s">
        <v>383</v>
      </c>
      <c r="J13" s="37"/>
      <c r="K13" s="37" t="s">
        <v>384</v>
      </c>
      <c r="L13" s="37" t="s">
        <v>20</v>
      </c>
      <c r="M13" s="37" t="s">
        <v>385</v>
      </c>
      <c r="N13" s="37" t="s">
        <v>19</v>
      </c>
      <c r="O13" s="37" t="s">
        <v>383</v>
      </c>
      <c r="P13" s="37"/>
      <c r="Q13" s="37" t="s">
        <v>386</v>
      </c>
      <c r="R13" s="37" t="s">
        <v>62</v>
      </c>
      <c r="S13" s="37" t="s">
        <v>63</v>
      </c>
      <c r="T13" s="37" t="s">
        <v>387</v>
      </c>
      <c r="U13" s="37"/>
      <c r="V13" s="37"/>
      <c r="W13" s="37" t="s">
        <v>428</v>
      </c>
      <c r="X13" s="37" t="n">
        <v>50</v>
      </c>
      <c r="Y13" s="37"/>
      <c r="Z13" s="37"/>
      <c r="AA13" s="37"/>
      <c r="AB13" s="37"/>
      <c r="AC13" s="37"/>
      <c r="AD13" s="37"/>
      <c r="AE13" s="37"/>
      <c r="AF13" s="37" t="s">
        <v>389</v>
      </c>
      <c r="AG13" s="62" t="s">
        <v>390</v>
      </c>
      <c r="AH13" s="63" t="s">
        <v>424</v>
      </c>
      <c r="AI13" s="62"/>
      <c r="AJ13" s="37" t="s">
        <v>392</v>
      </c>
      <c r="AK13" s="37" t="n">
        <f aca="false">SUM(Table1[[#This Row],[reported_1302]:[reported_1286_iso]])</f>
        <v>23.9</v>
      </c>
      <c r="AL13" s="64" t="n">
        <v>0</v>
      </c>
      <c r="AM13" s="64" t="n">
        <v>0</v>
      </c>
      <c r="AN13" s="64" t="n">
        <v>1.8</v>
      </c>
      <c r="AO13" s="64" t="n">
        <v>5.2</v>
      </c>
      <c r="AP13" s="64" t="n">
        <v>4.9</v>
      </c>
      <c r="AQ13" s="64" t="n">
        <v>0</v>
      </c>
      <c r="AR13" s="64" t="n">
        <v>12</v>
      </c>
      <c r="AS13" s="64"/>
      <c r="AT13" s="64"/>
      <c r="AU13" s="64"/>
      <c r="AV13" s="64"/>
      <c r="AW13" s="64"/>
      <c r="AX13" s="64"/>
      <c r="AY13" s="64"/>
      <c r="AZ13" s="64"/>
      <c r="BA13" s="64" t="n">
        <f aca="false">AL13/SUM($AL13:$AQ13)</f>
        <v>0</v>
      </c>
      <c r="BB13" s="64" t="n">
        <f aca="false">AM13/SUM($AL13:$AQ13)</f>
        <v>0</v>
      </c>
      <c r="BC13" s="64" t="n">
        <f aca="false">AN13/SUM($AL13:$AQ13)</f>
        <v>0.151260504201681</v>
      </c>
      <c r="BD13" s="64" t="n">
        <f aca="false">AO13/SUM($AL13:$AQ13)</f>
        <v>0.436974789915966</v>
      </c>
      <c r="BE13" s="64" t="n">
        <f aca="false">AP13/SUM($AL13:$AQ13)</f>
        <v>0.411764705882353</v>
      </c>
      <c r="BF13" s="64" t="n">
        <f aca="false">AQ13/SUM($AL13:$AQ13)</f>
        <v>0</v>
      </c>
      <c r="BG13" s="65" t="e">
        <f aca="false">#N/A</f>
        <v>#N/A</v>
      </c>
      <c r="BH13" s="37" t="s">
        <v>393</v>
      </c>
      <c r="BI13" s="37" t="s">
        <v>394</v>
      </c>
      <c r="BJ13" s="37" t="s">
        <v>395</v>
      </c>
      <c r="BK13" s="40" t="s">
        <v>4</v>
      </c>
      <c r="BL13" s="37" t="s">
        <v>396</v>
      </c>
      <c r="BM13" s="37" t="s">
        <v>397</v>
      </c>
      <c r="BN13" s="37" t="s">
        <v>397</v>
      </c>
      <c r="BO13" s="37" t="s">
        <v>398</v>
      </c>
      <c r="BP13" s="37" t="s">
        <v>397</v>
      </c>
      <c r="BQ13" s="37" t="s">
        <v>399</v>
      </c>
      <c r="BR13" s="37" t="s">
        <v>400</v>
      </c>
      <c r="BS13" s="37" t="s">
        <v>400</v>
      </c>
      <c r="BT13" s="37" t="s">
        <v>194</v>
      </c>
      <c r="BU13" s="37" t="s">
        <v>401</v>
      </c>
      <c r="BV13" s="37" t="s">
        <v>195</v>
      </c>
      <c r="BW13" s="37" t="s">
        <v>402</v>
      </c>
    </row>
    <row r="14" customFormat="false" ht="14.9" hidden="false" customHeight="false" outlineLevel="0" collapsed="false">
      <c r="A14" s="37" t="s">
        <v>429</v>
      </c>
      <c r="B14" s="62" t="s">
        <v>189</v>
      </c>
      <c r="C14" s="37" t="s">
        <v>188</v>
      </c>
      <c r="D14" s="37" t="n">
        <f aca="false">INDEX(Strain_IDs!C:C,MATCH(Table1[[#This Row],[Strains]],Strain_IDs!D:D,0))</f>
        <v>13</v>
      </c>
      <c r="E14" s="37" t="s">
        <v>382</v>
      </c>
      <c r="F14" s="37" t="s">
        <v>20</v>
      </c>
      <c r="G14" s="37" t="s">
        <v>21</v>
      </c>
      <c r="H14" s="37" t="s">
        <v>27</v>
      </c>
      <c r="I14" s="37" t="s">
        <v>383</v>
      </c>
      <c r="J14" s="37"/>
      <c r="K14" s="37" t="s">
        <v>384</v>
      </c>
      <c r="L14" s="37" t="s">
        <v>20</v>
      </c>
      <c r="M14" s="37" t="s">
        <v>385</v>
      </c>
      <c r="N14" s="37" t="s">
        <v>19</v>
      </c>
      <c r="O14" s="37" t="s">
        <v>383</v>
      </c>
      <c r="P14" s="37"/>
      <c r="Q14" s="37" t="s">
        <v>386</v>
      </c>
      <c r="R14" s="37" t="s">
        <v>62</v>
      </c>
      <c r="S14" s="37" t="s">
        <v>63</v>
      </c>
      <c r="T14" s="37" t="s">
        <v>387</v>
      </c>
      <c r="U14" s="37"/>
      <c r="V14" s="37"/>
      <c r="W14" s="37" t="s">
        <v>430</v>
      </c>
      <c r="X14" s="37" t="n">
        <v>37</v>
      </c>
      <c r="Y14" s="37"/>
      <c r="Z14" s="37"/>
      <c r="AA14" s="37"/>
      <c r="AB14" s="37"/>
      <c r="AC14" s="37"/>
      <c r="AD14" s="37"/>
      <c r="AE14" s="37"/>
      <c r="AF14" s="37" t="s">
        <v>389</v>
      </c>
      <c r="AG14" s="62" t="s">
        <v>390</v>
      </c>
      <c r="AH14" s="63" t="s">
        <v>431</v>
      </c>
      <c r="AI14" s="62"/>
      <c r="AJ14" s="37" t="s">
        <v>392</v>
      </c>
      <c r="AK14" s="37" t="n">
        <f aca="false">SUM(Table1[[#This Row],[reported_1302]:[reported_1286_iso]])</f>
        <v>12.2</v>
      </c>
      <c r="AL14" s="64" t="n">
        <v>0</v>
      </c>
      <c r="AM14" s="64" t="n">
        <v>0</v>
      </c>
      <c r="AN14" s="64" t="n">
        <v>0</v>
      </c>
      <c r="AO14" s="64" t="n">
        <v>2.7</v>
      </c>
      <c r="AP14" s="64" t="n">
        <v>1.3</v>
      </c>
      <c r="AQ14" s="64" t="n">
        <v>0</v>
      </c>
      <c r="AR14" s="64" t="n">
        <v>8.2</v>
      </c>
      <c r="AS14" s="64"/>
      <c r="AT14" s="64"/>
      <c r="AU14" s="64"/>
      <c r="AV14" s="64"/>
      <c r="AW14" s="64"/>
      <c r="AX14" s="64"/>
      <c r="AY14" s="64"/>
      <c r="AZ14" s="64"/>
      <c r="BA14" s="64" t="n">
        <f aca="false">AL14/SUM($AL14:$AQ14)</f>
        <v>0</v>
      </c>
      <c r="BB14" s="64" t="n">
        <f aca="false">AM14/SUM($AL14:$AQ14)</f>
        <v>0</v>
      </c>
      <c r="BC14" s="64" t="n">
        <f aca="false">AN14/SUM($AL14:$AQ14)</f>
        <v>0</v>
      </c>
      <c r="BD14" s="64" t="n">
        <f aca="false">AO14/SUM($AL14:$AQ14)</f>
        <v>0.675</v>
      </c>
      <c r="BE14" s="64" t="n">
        <f aca="false">AP14/SUM($AL14:$AQ14)</f>
        <v>0.325</v>
      </c>
      <c r="BF14" s="64" t="n">
        <f aca="false">AQ14/SUM($AL14:$AQ14)</f>
        <v>0</v>
      </c>
      <c r="BG14" s="65" t="e">
        <f aca="false">#N/A</f>
        <v>#N/A</v>
      </c>
      <c r="BH14" s="37" t="s">
        <v>393</v>
      </c>
      <c r="BI14" s="37" t="s">
        <v>394</v>
      </c>
      <c r="BJ14" s="37" t="s">
        <v>395</v>
      </c>
      <c r="BK14" s="40" t="s">
        <v>4</v>
      </c>
      <c r="BL14" s="37" t="s">
        <v>396</v>
      </c>
      <c r="BM14" s="37" t="s">
        <v>397</v>
      </c>
      <c r="BN14" s="37" t="s">
        <v>397</v>
      </c>
      <c r="BO14" s="37" t="s">
        <v>398</v>
      </c>
      <c r="BP14" s="37" t="s">
        <v>397</v>
      </c>
      <c r="BQ14" s="37" t="s">
        <v>399</v>
      </c>
      <c r="BR14" s="37" t="s">
        <v>400</v>
      </c>
      <c r="BS14" s="37" t="s">
        <v>400</v>
      </c>
      <c r="BT14" s="37" t="s">
        <v>194</v>
      </c>
      <c r="BU14" s="37" t="s">
        <v>401</v>
      </c>
      <c r="BV14" s="37" t="s">
        <v>195</v>
      </c>
      <c r="BW14" s="37" t="s">
        <v>402</v>
      </c>
    </row>
    <row r="15" customFormat="false" ht="14.9" hidden="false" customHeight="false" outlineLevel="0" collapsed="false">
      <c r="A15" s="37" t="s">
        <v>432</v>
      </c>
      <c r="B15" s="62" t="s">
        <v>189</v>
      </c>
      <c r="C15" s="37" t="s">
        <v>188</v>
      </c>
      <c r="D15" s="37" t="n">
        <f aca="false">INDEX(Strain_IDs!C:C,MATCH(Table1[[#This Row],[Strains]],Strain_IDs!D:D,0))</f>
        <v>13</v>
      </c>
      <c r="E15" s="37" t="s">
        <v>382</v>
      </c>
      <c r="F15" s="37" t="s">
        <v>20</v>
      </c>
      <c r="G15" s="37" t="s">
        <v>21</v>
      </c>
      <c r="H15" s="37" t="s">
        <v>27</v>
      </c>
      <c r="I15" s="37" t="s">
        <v>383</v>
      </c>
      <c r="J15" s="37"/>
      <c r="K15" s="37" t="s">
        <v>384</v>
      </c>
      <c r="L15" s="37" t="s">
        <v>20</v>
      </c>
      <c r="M15" s="37" t="s">
        <v>385</v>
      </c>
      <c r="N15" s="37" t="s">
        <v>19</v>
      </c>
      <c r="O15" s="37" t="s">
        <v>383</v>
      </c>
      <c r="P15" s="37"/>
      <c r="Q15" s="37" t="s">
        <v>386</v>
      </c>
      <c r="R15" s="37" t="s">
        <v>62</v>
      </c>
      <c r="S15" s="37" t="s">
        <v>63</v>
      </c>
      <c r="T15" s="37" t="s">
        <v>387</v>
      </c>
      <c r="U15" s="37"/>
      <c r="V15" s="37"/>
      <c r="W15" s="37" t="s">
        <v>433</v>
      </c>
      <c r="X15" s="37" t="n">
        <v>46</v>
      </c>
      <c r="Y15" s="37"/>
      <c r="Z15" s="37"/>
      <c r="AA15" s="37"/>
      <c r="AB15" s="37"/>
      <c r="AC15" s="37"/>
      <c r="AD15" s="37"/>
      <c r="AE15" s="37"/>
      <c r="AF15" s="37" t="s">
        <v>389</v>
      </c>
      <c r="AG15" s="62" t="s">
        <v>390</v>
      </c>
      <c r="AH15" s="63" t="s">
        <v>431</v>
      </c>
      <c r="AI15" s="62"/>
      <c r="AJ15" s="37" t="s">
        <v>392</v>
      </c>
      <c r="AK15" s="37" t="n">
        <f aca="false">SUM(Table1[[#This Row],[reported_1302]:[reported_1286_iso]])</f>
        <v>9.7</v>
      </c>
      <c r="AL15" s="64" t="n">
        <v>0</v>
      </c>
      <c r="AM15" s="64" t="n">
        <v>0</v>
      </c>
      <c r="AN15" s="64" t="n">
        <v>0</v>
      </c>
      <c r="AO15" s="64" t="n">
        <v>0.2</v>
      </c>
      <c r="AP15" s="64" t="n">
        <v>4.2</v>
      </c>
      <c r="AQ15" s="64" t="n">
        <v>0</v>
      </c>
      <c r="AR15" s="64" t="n">
        <v>5.3</v>
      </c>
      <c r="AS15" s="64"/>
      <c r="AT15" s="64"/>
      <c r="AU15" s="64"/>
      <c r="AV15" s="64"/>
      <c r="AW15" s="64"/>
      <c r="AX15" s="64"/>
      <c r="AY15" s="64"/>
      <c r="AZ15" s="64"/>
      <c r="BA15" s="64" t="n">
        <f aca="false">AL15/SUM($AL15:$AQ15)</f>
        <v>0</v>
      </c>
      <c r="BB15" s="64" t="n">
        <f aca="false">AM15/SUM($AL15:$AQ15)</f>
        <v>0</v>
      </c>
      <c r="BC15" s="64" t="n">
        <f aca="false">AN15/SUM($AL15:$AQ15)</f>
        <v>0</v>
      </c>
      <c r="BD15" s="64" t="n">
        <f aca="false">AO15/SUM($AL15:$AQ15)</f>
        <v>0.0454545454545455</v>
      </c>
      <c r="BE15" s="64" t="n">
        <f aca="false">AP15/SUM($AL15:$AQ15)</f>
        <v>0.954545454545455</v>
      </c>
      <c r="BF15" s="64" t="n">
        <f aca="false">AQ15/SUM($AL15:$AQ15)</f>
        <v>0</v>
      </c>
      <c r="BG15" s="65" t="e">
        <f aca="false">#N/A</f>
        <v>#N/A</v>
      </c>
      <c r="BH15" s="37" t="s">
        <v>393</v>
      </c>
      <c r="BI15" s="37" t="s">
        <v>394</v>
      </c>
      <c r="BJ15" s="37" t="s">
        <v>395</v>
      </c>
      <c r="BK15" s="40" t="s">
        <v>4</v>
      </c>
      <c r="BL15" s="37" t="s">
        <v>396</v>
      </c>
      <c r="BM15" s="37" t="s">
        <v>397</v>
      </c>
      <c r="BN15" s="37" t="s">
        <v>397</v>
      </c>
      <c r="BO15" s="37" t="s">
        <v>398</v>
      </c>
      <c r="BP15" s="37" t="s">
        <v>397</v>
      </c>
      <c r="BQ15" s="37" t="s">
        <v>397</v>
      </c>
      <c r="BR15" s="37" t="s">
        <v>405</v>
      </c>
      <c r="BS15" s="37" t="s">
        <v>400</v>
      </c>
      <c r="BT15" s="37" t="s">
        <v>194</v>
      </c>
      <c r="BU15" s="37" t="s">
        <v>401</v>
      </c>
      <c r="BV15" s="37" t="s">
        <v>195</v>
      </c>
      <c r="BW15" s="37" t="s">
        <v>402</v>
      </c>
    </row>
    <row r="16" customFormat="false" ht="14.9" hidden="false" customHeight="false" outlineLevel="0" collapsed="false">
      <c r="A16" s="37" t="s">
        <v>434</v>
      </c>
      <c r="B16" s="62" t="s">
        <v>189</v>
      </c>
      <c r="C16" s="37" t="s">
        <v>188</v>
      </c>
      <c r="D16" s="37" t="n">
        <f aca="false">INDEX(Strain_IDs!C:C,MATCH(Table1[[#This Row],[Strains]],Strain_IDs!D:D,0))</f>
        <v>13</v>
      </c>
      <c r="E16" s="37" t="s">
        <v>382</v>
      </c>
      <c r="F16" s="37" t="s">
        <v>20</v>
      </c>
      <c r="G16" s="37" t="s">
        <v>21</v>
      </c>
      <c r="H16" s="37" t="s">
        <v>27</v>
      </c>
      <c r="I16" s="37" t="s">
        <v>383</v>
      </c>
      <c r="J16" s="37"/>
      <c r="K16" s="37" t="s">
        <v>384</v>
      </c>
      <c r="L16" s="37" t="s">
        <v>20</v>
      </c>
      <c r="M16" s="37" t="s">
        <v>385</v>
      </c>
      <c r="N16" s="37" t="s">
        <v>19</v>
      </c>
      <c r="O16" s="37" t="s">
        <v>383</v>
      </c>
      <c r="P16" s="37"/>
      <c r="Q16" s="37" t="s">
        <v>386</v>
      </c>
      <c r="R16" s="37" t="s">
        <v>62</v>
      </c>
      <c r="S16" s="37" t="s">
        <v>63</v>
      </c>
      <c r="T16" s="37" t="s">
        <v>387</v>
      </c>
      <c r="U16" s="37"/>
      <c r="V16" s="37"/>
      <c r="W16" s="37" t="s">
        <v>435</v>
      </c>
      <c r="X16" s="37" t="n">
        <v>50</v>
      </c>
      <c r="Y16" s="37"/>
      <c r="Z16" s="37"/>
      <c r="AA16" s="37"/>
      <c r="AB16" s="37"/>
      <c r="AC16" s="37"/>
      <c r="AD16" s="37"/>
      <c r="AE16" s="37"/>
      <c r="AF16" s="37" t="s">
        <v>389</v>
      </c>
      <c r="AG16" s="62" t="s">
        <v>390</v>
      </c>
      <c r="AH16" s="63" t="s">
        <v>431</v>
      </c>
      <c r="AI16" s="62"/>
      <c r="AJ16" s="37" t="s">
        <v>392</v>
      </c>
      <c r="AK16" s="37" t="n">
        <f aca="false">SUM(Table1[[#This Row],[reported_1302]:[reported_1286_iso]])</f>
        <v>7.8</v>
      </c>
      <c r="AL16" s="64" t="n">
        <v>0</v>
      </c>
      <c r="AM16" s="64" t="n">
        <v>0</v>
      </c>
      <c r="AN16" s="64" t="n">
        <v>0</v>
      </c>
      <c r="AO16" s="64" t="n">
        <v>0</v>
      </c>
      <c r="AP16" s="64" t="n">
        <v>3.5</v>
      </c>
      <c r="AQ16" s="64" t="n">
        <v>0</v>
      </c>
      <c r="AR16" s="64" t="n">
        <v>4.3</v>
      </c>
      <c r="AS16" s="64"/>
      <c r="AT16" s="64"/>
      <c r="AU16" s="64"/>
      <c r="AV16" s="64"/>
      <c r="AW16" s="64"/>
      <c r="AX16" s="64"/>
      <c r="AY16" s="64"/>
      <c r="AZ16" s="64"/>
      <c r="BA16" s="64" t="n">
        <f aca="false">AL16/SUM($AL16:$AQ16)</f>
        <v>0</v>
      </c>
      <c r="BB16" s="64" t="n">
        <f aca="false">AM16/SUM($AL16:$AQ16)</f>
        <v>0</v>
      </c>
      <c r="BC16" s="64" t="n">
        <f aca="false">AN16/SUM($AL16:$AQ16)</f>
        <v>0</v>
      </c>
      <c r="BD16" s="64" t="n">
        <f aca="false">AO16/SUM($AL16:$AQ16)</f>
        <v>0</v>
      </c>
      <c r="BE16" s="64" t="n">
        <f aca="false">AP16/SUM($AL16:$AQ16)</f>
        <v>1</v>
      </c>
      <c r="BF16" s="64" t="n">
        <f aca="false">AQ16/SUM($AL16:$AQ16)</f>
        <v>0</v>
      </c>
      <c r="BG16" s="65" t="e">
        <f aca="false">#N/A</f>
        <v>#N/A</v>
      </c>
      <c r="BH16" s="37" t="s">
        <v>393</v>
      </c>
      <c r="BI16" s="37" t="s">
        <v>394</v>
      </c>
      <c r="BJ16" s="37" t="s">
        <v>395</v>
      </c>
      <c r="BK16" s="40" t="s">
        <v>4</v>
      </c>
      <c r="BL16" s="37" t="s">
        <v>396</v>
      </c>
      <c r="BM16" s="37" t="s">
        <v>397</v>
      </c>
      <c r="BN16" s="37" t="s">
        <v>397</v>
      </c>
      <c r="BO16" s="37" t="s">
        <v>398</v>
      </c>
      <c r="BP16" s="37" t="s">
        <v>397</v>
      </c>
      <c r="BQ16" s="37" t="s">
        <v>397</v>
      </c>
      <c r="BR16" s="37" t="s">
        <v>405</v>
      </c>
      <c r="BS16" s="37" t="s">
        <v>400</v>
      </c>
      <c r="BT16" s="37" t="s">
        <v>194</v>
      </c>
      <c r="BU16" s="37" t="s">
        <v>401</v>
      </c>
      <c r="BV16" s="37" t="s">
        <v>195</v>
      </c>
      <c r="BW16" s="37" t="s">
        <v>402</v>
      </c>
    </row>
    <row r="17" customFormat="false" ht="14.9" hidden="false" customHeight="false" outlineLevel="0" collapsed="false">
      <c r="A17" s="37" t="s">
        <v>436</v>
      </c>
      <c r="B17" s="62" t="s">
        <v>189</v>
      </c>
      <c r="C17" s="37" t="s">
        <v>188</v>
      </c>
      <c r="D17" s="37" t="n">
        <f aca="false">INDEX(Strain_IDs!C:C,MATCH(Table1[[#This Row],[Strains]],Strain_IDs!D:D,0))</f>
        <v>13</v>
      </c>
      <c r="E17" s="37" t="s">
        <v>382</v>
      </c>
      <c r="F17" s="37" t="s">
        <v>20</v>
      </c>
      <c r="G17" s="37" t="s">
        <v>21</v>
      </c>
      <c r="H17" s="37" t="s">
        <v>27</v>
      </c>
      <c r="I17" s="37" t="s">
        <v>383</v>
      </c>
      <c r="J17" s="37"/>
      <c r="K17" s="37" t="s">
        <v>384</v>
      </c>
      <c r="L17" s="37" t="s">
        <v>20</v>
      </c>
      <c r="M17" s="37" t="s">
        <v>385</v>
      </c>
      <c r="N17" s="37" t="s">
        <v>19</v>
      </c>
      <c r="O17" s="37" t="s">
        <v>383</v>
      </c>
      <c r="P17" s="37"/>
      <c r="Q17" s="37" t="s">
        <v>386</v>
      </c>
      <c r="R17" s="37" t="s">
        <v>62</v>
      </c>
      <c r="S17" s="37" t="s">
        <v>63</v>
      </c>
      <c r="T17" s="37" t="s">
        <v>387</v>
      </c>
      <c r="U17" s="37"/>
      <c r="V17" s="37"/>
      <c r="W17" s="37" t="s">
        <v>437</v>
      </c>
      <c r="X17" s="37" t="n">
        <v>37</v>
      </c>
      <c r="Y17" s="37"/>
      <c r="Z17" s="37"/>
      <c r="AA17" s="37"/>
      <c r="AB17" s="37"/>
      <c r="AC17" s="37"/>
      <c r="AD17" s="37"/>
      <c r="AE17" s="37"/>
      <c r="AF17" s="37" t="s">
        <v>389</v>
      </c>
      <c r="AG17" s="62" t="s">
        <v>390</v>
      </c>
      <c r="AH17" s="63" t="s">
        <v>438</v>
      </c>
      <c r="AI17" s="62"/>
      <c r="AJ17" s="37" t="s">
        <v>392</v>
      </c>
      <c r="AK17" s="37" t="n">
        <f aca="false">SUM(Table1[[#This Row],[reported_1302]:[reported_1286_iso]])</f>
        <v>68.6</v>
      </c>
      <c r="AL17" s="64" t="n">
        <v>7.5</v>
      </c>
      <c r="AM17" s="64" t="n">
        <v>11.2</v>
      </c>
      <c r="AN17" s="64" t="n">
        <v>10.5</v>
      </c>
      <c r="AO17" s="64" t="n">
        <v>17.2</v>
      </c>
      <c r="AP17" s="64" t="n">
        <v>22</v>
      </c>
      <c r="AQ17" s="64" t="n">
        <v>0</v>
      </c>
      <c r="AR17" s="64" t="n">
        <v>0.2</v>
      </c>
      <c r="AS17" s="64"/>
      <c r="AT17" s="64"/>
      <c r="AU17" s="64"/>
      <c r="AV17" s="64"/>
      <c r="AW17" s="64"/>
      <c r="AX17" s="64"/>
      <c r="AY17" s="64"/>
      <c r="AZ17" s="64"/>
      <c r="BA17" s="64" t="n">
        <f aca="false">AL17/SUM($AL17:$AQ17)</f>
        <v>0.109649122807018</v>
      </c>
      <c r="BB17" s="64" t="n">
        <f aca="false">AM17/SUM($AL17:$AQ17)</f>
        <v>0.16374269005848</v>
      </c>
      <c r="BC17" s="64" t="n">
        <f aca="false">AN17/SUM($AL17:$AQ17)</f>
        <v>0.153508771929825</v>
      </c>
      <c r="BD17" s="64" t="n">
        <f aca="false">AO17/SUM($AL17:$AQ17)</f>
        <v>0.251461988304094</v>
      </c>
      <c r="BE17" s="64" t="n">
        <f aca="false">AP17/SUM($AL17:$AQ17)</f>
        <v>0.321637426900585</v>
      </c>
      <c r="BF17" s="64" t="n">
        <f aca="false">AQ17/SUM($AL17:$AQ17)</f>
        <v>0</v>
      </c>
      <c r="BG17" s="65" t="e">
        <f aca="false">#N/A</f>
        <v>#N/A</v>
      </c>
      <c r="BH17" s="37" t="s">
        <v>393</v>
      </c>
      <c r="BI17" s="37" t="s">
        <v>394</v>
      </c>
      <c r="BJ17" s="37" t="s">
        <v>395</v>
      </c>
      <c r="BK17" s="40" t="s">
        <v>4</v>
      </c>
      <c r="BL17" s="37" t="s">
        <v>439</v>
      </c>
      <c r="BM17" s="37" t="s">
        <v>397</v>
      </c>
      <c r="BN17" s="37" t="s">
        <v>397</v>
      </c>
      <c r="BO17" s="37" t="s">
        <v>398</v>
      </c>
      <c r="BP17" s="37" t="s">
        <v>397</v>
      </c>
      <c r="BQ17" s="37" t="s">
        <v>399</v>
      </c>
      <c r="BR17" s="37" t="s">
        <v>400</v>
      </c>
      <c r="BS17" s="37" t="s">
        <v>400</v>
      </c>
      <c r="BT17" s="37" t="s">
        <v>194</v>
      </c>
      <c r="BU17" s="37" t="s">
        <v>401</v>
      </c>
      <c r="BV17" s="37" t="s">
        <v>195</v>
      </c>
      <c r="BW17" s="37" t="s">
        <v>402</v>
      </c>
    </row>
    <row r="18" customFormat="false" ht="14.9" hidden="false" customHeight="false" outlineLevel="0" collapsed="false">
      <c r="A18" s="37" t="s">
        <v>440</v>
      </c>
      <c r="B18" s="62" t="s">
        <v>189</v>
      </c>
      <c r="C18" s="37" t="s">
        <v>188</v>
      </c>
      <c r="D18" s="37" t="n">
        <f aca="false">INDEX(Strain_IDs!C:C,MATCH(Table1[[#This Row],[Strains]],Strain_IDs!D:D,0))</f>
        <v>13</v>
      </c>
      <c r="E18" s="37" t="s">
        <v>382</v>
      </c>
      <c r="F18" s="37" t="s">
        <v>20</v>
      </c>
      <c r="G18" s="37" t="s">
        <v>21</v>
      </c>
      <c r="H18" s="37" t="s">
        <v>27</v>
      </c>
      <c r="I18" s="37" t="s">
        <v>383</v>
      </c>
      <c r="J18" s="37"/>
      <c r="K18" s="37" t="s">
        <v>384</v>
      </c>
      <c r="L18" s="37" t="s">
        <v>20</v>
      </c>
      <c r="M18" s="37" t="s">
        <v>385</v>
      </c>
      <c r="N18" s="37" t="s">
        <v>19</v>
      </c>
      <c r="O18" s="37" t="s">
        <v>383</v>
      </c>
      <c r="P18" s="37"/>
      <c r="Q18" s="37" t="s">
        <v>386</v>
      </c>
      <c r="R18" s="37" t="s">
        <v>62</v>
      </c>
      <c r="S18" s="37" t="s">
        <v>63</v>
      </c>
      <c r="T18" s="37" t="s">
        <v>387</v>
      </c>
      <c r="U18" s="37"/>
      <c r="V18" s="37"/>
      <c r="W18" s="37" t="s">
        <v>441</v>
      </c>
      <c r="X18" s="37" t="n">
        <v>46</v>
      </c>
      <c r="Y18" s="37"/>
      <c r="Z18" s="37"/>
      <c r="AA18" s="37"/>
      <c r="AB18" s="37"/>
      <c r="AC18" s="37"/>
      <c r="AD18" s="37"/>
      <c r="AE18" s="37"/>
      <c r="AF18" s="37" t="s">
        <v>389</v>
      </c>
      <c r="AG18" s="62" t="s">
        <v>390</v>
      </c>
      <c r="AH18" s="63" t="s">
        <v>438</v>
      </c>
      <c r="AI18" s="62"/>
      <c r="AJ18" s="37" t="s">
        <v>392</v>
      </c>
      <c r="AK18" s="37" t="n">
        <f aca="false">SUM(Table1[[#This Row],[reported_1302]:[reported_1286_iso]])</f>
        <v>71.5</v>
      </c>
      <c r="AL18" s="64" t="n">
        <v>0.9</v>
      </c>
      <c r="AM18" s="64" t="n">
        <v>2.5</v>
      </c>
      <c r="AN18" s="64" t="n">
        <v>6.5</v>
      </c>
      <c r="AO18" s="64" t="n">
        <v>12.5</v>
      </c>
      <c r="AP18" s="64" t="n">
        <v>49.1</v>
      </c>
      <c r="AQ18" s="64" t="n">
        <v>0</v>
      </c>
      <c r="AR18" s="64" t="n">
        <v>0</v>
      </c>
      <c r="AS18" s="64"/>
      <c r="AT18" s="64"/>
      <c r="AU18" s="64"/>
      <c r="AV18" s="64"/>
      <c r="AW18" s="64"/>
      <c r="AX18" s="64"/>
      <c r="AY18" s="64"/>
      <c r="AZ18" s="64"/>
      <c r="BA18" s="64" t="n">
        <f aca="false">AL18/SUM($AL18:$AQ18)</f>
        <v>0.0125874125874126</v>
      </c>
      <c r="BB18" s="64" t="n">
        <f aca="false">AM18/SUM($AL18:$AQ18)</f>
        <v>0.034965034965035</v>
      </c>
      <c r="BC18" s="64" t="n">
        <f aca="false">AN18/SUM($AL18:$AQ18)</f>
        <v>0.0909090909090909</v>
      </c>
      <c r="BD18" s="64" t="n">
        <f aca="false">AO18/SUM($AL18:$AQ18)</f>
        <v>0.174825174825175</v>
      </c>
      <c r="BE18" s="64" t="n">
        <f aca="false">AP18/SUM($AL18:$AQ18)</f>
        <v>0.686713286713287</v>
      </c>
      <c r="BF18" s="64" t="n">
        <f aca="false">AQ18/SUM($AL18:$AQ18)</f>
        <v>0</v>
      </c>
      <c r="BG18" s="65" t="e">
        <f aca="false">#N/A</f>
        <v>#N/A</v>
      </c>
      <c r="BH18" s="37" t="s">
        <v>393</v>
      </c>
      <c r="BI18" s="37" t="s">
        <v>394</v>
      </c>
      <c r="BJ18" s="37" t="s">
        <v>395</v>
      </c>
      <c r="BK18" s="40" t="s">
        <v>4</v>
      </c>
      <c r="BL18" s="37" t="s">
        <v>439</v>
      </c>
      <c r="BM18" s="37" t="s">
        <v>397</v>
      </c>
      <c r="BN18" s="37" t="s">
        <v>397</v>
      </c>
      <c r="BO18" s="37" t="s">
        <v>398</v>
      </c>
      <c r="BP18" s="37" t="s">
        <v>397</v>
      </c>
      <c r="BQ18" s="37" t="s">
        <v>397</v>
      </c>
      <c r="BR18" s="37" t="s">
        <v>405</v>
      </c>
      <c r="BS18" s="37" t="s">
        <v>400</v>
      </c>
      <c r="BT18" s="37" t="s">
        <v>194</v>
      </c>
      <c r="BU18" s="37" t="s">
        <v>401</v>
      </c>
      <c r="BV18" s="37" t="s">
        <v>195</v>
      </c>
      <c r="BW18" s="37" t="s">
        <v>402</v>
      </c>
    </row>
    <row r="19" customFormat="false" ht="14.9" hidden="false" customHeight="false" outlineLevel="0" collapsed="false">
      <c r="A19" s="37" t="s">
        <v>442</v>
      </c>
      <c r="B19" s="62" t="s">
        <v>189</v>
      </c>
      <c r="C19" s="37" t="s">
        <v>188</v>
      </c>
      <c r="D19" s="37" t="n">
        <f aca="false">INDEX(Strain_IDs!C:C,MATCH(Table1[[#This Row],[Strains]],Strain_IDs!D:D,0))</f>
        <v>13</v>
      </c>
      <c r="E19" s="37" t="s">
        <v>382</v>
      </c>
      <c r="F19" s="37" t="s">
        <v>20</v>
      </c>
      <c r="G19" s="37" t="s">
        <v>21</v>
      </c>
      <c r="H19" s="37" t="s">
        <v>27</v>
      </c>
      <c r="I19" s="37" t="s">
        <v>383</v>
      </c>
      <c r="J19" s="37"/>
      <c r="K19" s="37" t="s">
        <v>384</v>
      </c>
      <c r="L19" s="37" t="s">
        <v>20</v>
      </c>
      <c r="M19" s="37" t="s">
        <v>385</v>
      </c>
      <c r="N19" s="37" t="s">
        <v>19</v>
      </c>
      <c r="O19" s="37" t="s">
        <v>383</v>
      </c>
      <c r="P19" s="37"/>
      <c r="Q19" s="37" t="s">
        <v>386</v>
      </c>
      <c r="R19" s="37" t="s">
        <v>62</v>
      </c>
      <c r="S19" s="37" t="s">
        <v>63</v>
      </c>
      <c r="T19" s="37" t="s">
        <v>387</v>
      </c>
      <c r="U19" s="37"/>
      <c r="V19" s="37"/>
      <c r="W19" s="37" t="s">
        <v>443</v>
      </c>
      <c r="X19" s="37" t="n">
        <v>50</v>
      </c>
      <c r="Y19" s="37"/>
      <c r="Z19" s="37"/>
      <c r="AA19" s="37"/>
      <c r="AB19" s="37"/>
      <c r="AC19" s="37"/>
      <c r="AD19" s="37"/>
      <c r="AE19" s="37"/>
      <c r="AF19" s="37" t="s">
        <v>389</v>
      </c>
      <c r="AG19" s="62" t="s">
        <v>390</v>
      </c>
      <c r="AH19" s="63" t="s">
        <v>438</v>
      </c>
      <c r="AI19" s="62"/>
      <c r="AJ19" s="37" t="s">
        <v>392</v>
      </c>
      <c r="AK19" s="37" t="n">
        <f aca="false">SUM(Table1[[#This Row],[reported_1302]:[reported_1286_iso]])</f>
        <v>68.8</v>
      </c>
      <c r="AL19" s="64" t="n">
        <v>1.1</v>
      </c>
      <c r="AM19" s="64" t="n">
        <v>2</v>
      </c>
      <c r="AN19" s="64" t="n">
        <v>6.4</v>
      </c>
      <c r="AO19" s="64" t="n">
        <v>12.1</v>
      </c>
      <c r="AP19" s="64" t="n">
        <v>47.1</v>
      </c>
      <c r="AQ19" s="64" t="n">
        <v>0</v>
      </c>
      <c r="AR19" s="64" t="n">
        <v>0.1</v>
      </c>
      <c r="AS19" s="64"/>
      <c r="AT19" s="64"/>
      <c r="AU19" s="64"/>
      <c r="AV19" s="64"/>
      <c r="AW19" s="64"/>
      <c r="AX19" s="64"/>
      <c r="AY19" s="64"/>
      <c r="AZ19" s="64"/>
      <c r="BA19" s="64" t="n">
        <f aca="false">AL19/SUM($AL19:$AQ19)</f>
        <v>0.0160116448326055</v>
      </c>
      <c r="BB19" s="64" t="n">
        <f aca="false">AM19/SUM($AL19:$AQ19)</f>
        <v>0.0291120815138282</v>
      </c>
      <c r="BC19" s="64" t="n">
        <f aca="false">AN19/SUM($AL19:$AQ19)</f>
        <v>0.0931586608442504</v>
      </c>
      <c r="BD19" s="64" t="n">
        <f aca="false">AO19/SUM($AL19:$AQ19)</f>
        <v>0.176128093158661</v>
      </c>
      <c r="BE19" s="64" t="n">
        <f aca="false">AP19/SUM($AL19:$AQ19)</f>
        <v>0.685589519650655</v>
      </c>
      <c r="BF19" s="64" t="n">
        <f aca="false">AQ19/SUM($AL19:$AQ19)</f>
        <v>0</v>
      </c>
      <c r="BG19" s="65" t="e">
        <f aca="false">#N/A</f>
        <v>#N/A</v>
      </c>
      <c r="BH19" s="37" t="s">
        <v>393</v>
      </c>
      <c r="BI19" s="37" t="s">
        <v>394</v>
      </c>
      <c r="BJ19" s="37" t="s">
        <v>395</v>
      </c>
      <c r="BK19" s="40" t="s">
        <v>4</v>
      </c>
      <c r="BL19" s="37" t="s">
        <v>439</v>
      </c>
      <c r="BM19" s="37" t="s">
        <v>397</v>
      </c>
      <c r="BN19" s="37" t="s">
        <v>397</v>
      </c>
      <c r="BO19" s="37" t="s">
        <v>398</v>
      </c>
      <c r="BP19" s="37" t="s">
        <v>397</v>
      </c>
      <c r="BQ19" s="37" t="s">
        <v>397</v>
      </c>
      <c r="BR19" s="37" t="s">
        <v>405</v>
      </c>
      <c r="BS19" s="37" t="s">
        <v>400</v>
      </c>
      <c r="BT19" s="37" t="s">
        <v>194</v>
      </c>
      <c r="BU19" s="37" t="s">
        <v>401</v>
      </c>
      <c r="BV19" s="37" t="s">
        <v>195</v>
      </c>
      <c r="BW19" s="37" t="s">
        <v>402</v>
      </c>
    </row>
    <row r="20" customFormat="false" ht="14.9" hidden="false" customHeight="false" outlineLevel="0" collapsed="false">
      <c r="A20" s="37" t="s">
        <v>444</v>
      </c>
      <c r="B20" s="62" t="s">
        <v>189</v>
      </c>
      <c r="C20" s="37" t="s">
        <v>188</v>
      </c>
      <c r="D20" s="37" t="n">
        <f aca="false">INDEX(Strain_IDs!C:C,MATCH(Table1[[#This Row],[Strains]],Strain_IDs!D:D,0))</f>
        <v>13</v>
      </c>
      <c r="E20" s="37" t="s">
        <v>382</v>
      </c>
      <c r="F20" s="37" t="s">
        <v>20</v>
      </c>
      <c r="G20" s="37" t="s">
        <v>21</v>
      </c>
      <c r="H20" s="37" t="s">
        <v>27</v>
      </c>
      <c r="I20" s="37" t="s">
        <v>383</v>
      </c>
      <c r="J20" s="37"/>
      <c r="K20" s="37" t="s">
        <v>384</v>
      </c>
      <c r="L20" s="37" t="s">
        <v>20</v>
      </c>
      <c r="M20" s="37" t="s">
        <v>385</v>
      </c>
      <c r="N20" s="37" t="s">
        <v>19</v>
      </c>
      <c r="O20" s="37" t="s">
        <v>383</v>
      </c>
      <c r="P20" s="37"/>
      <c r="Q20" s="37" t="s">
        <v>386</v>
      </c>
      <c r="R20" s="37" t="s">
        <v>62</v>
      </c>
      <c r="S20" s="37" t="s">
        <v>63</v>
      </c>
      <c r="T20" s="37" t="s">
        <v>387</v>
      </c>
      <c r="U20" s="37"/>
      <c r="V20" s="37"/>
      <c r="W20" s="37" t="s">
        <v>445</v>
      </c>
      <c r="X20" s="37" t="n">
        <v>37</v>
      </c>
      <c r="Y20" s="37"/>
      <c r="Z20" s="37"/>
      <c r="AA20" s="37"/>
      <c r="AB20" s="37"/>
      <c r="AC20" s="37"/>
      <c r="AD20" s="37"/>
      <c r="AE20" s="37"/>
      <c r="AF20" s="37" t="s">
        <v>389</v>
      </c>
      <c r="AG20" s="62" t="s">
        <v>446</v>
      </c>
      <c r="AH20" s="63" t="s">
        <v>447</v>
      </c>
      <c r="AI20" s="62"/>
      <c r="AJ20" s="37" t="s">
        <v>448</v>
      </c>
      <c r="AK20" s="37" t="n">
        <f aca="false">SUM(Table1[[#This Row],[reported_1302]:[reported_1286_iso]])</f>
        <v>89.7</v>
      </c>
      <c r="AL20" s="64" t="n">
        <v>5.3</v>
      </c>
      <c r="AM20" s="64" t="n">
        <v>11</v>
      </c>
      <c r="AN20" s="64" t="n">
        <v>3.4</v>
      </c>
      <c r="AO20" s="64" t="n">
        <v>7.1</v>
      </c>
      <c r="AP20" s="64" t="n">
        <v>25</v>
      </c>
      <c r="AQ20" s="64" t="n">
        <v>4.6</v>
      </c>
      <c r="AR20" s="64" t="n">
        <v>28</v>
      </c>
      <c r="AS20" s="64"/>
      <c r="AT20" s="64"/>
      <c r="AU20" s="64"/>
      <c r="AV20" s="64"/>
      <c r="AW20" s="64" t="n">
        <v>5.3</v>
      </c>
      <c r="AX20" s="64"/>
      <c r="AY20" s="64"/>
      <c r="AZ20" s="64"/>
      <c r="BA20" s="64" t="n">
        <f aca="false">AL20/SUM($AL20:$AQ20)</f>
        <v>0.0939716312056738</v>
      </c>
      <c r="BB20" s="64" t="n">
        <f aca="false">AM20/SUM($AL20:$AQ20)</f>
        <v>0.195035460992908</v>
      </c>
      <c r="BC20" s="64" t="n">
        <f aca="false">AN20/SUM($AL20:$AQ20)</f>
        <v>0.0602836879432624</v>
      </c>
      <c r="BD20" s="64" t="n">
        <f aca="false">AO20/SUM($AL20:$AQ20)</f>
        <v>0.125886524822695</v>
      </c>
      <c r="BE20" s="64" t="n">
        <f aca="false">AP20/SUM($AL20:$AQ20)</f>
        <v>0.443262411347518</v>
      </c>
      <c r="BF20" s="64" t="n">
        <f aca="false">AQ20/SUM($AL20:$AQ20)</f>
        <v>0.0815602836879433</v>
      </c>
      <c r="BG20" s="65" t="e">
        <f aca="false">#N/A</f>
        <v>#N/A</v>
      </c>
      <c r="BH20" s="37" t="s">
        <v>393</v>
      </c>
      <c r="BI20" s="37" t="s">
        <v>394</v>
      </c>
      <c r="BJ20" s="37" t="s">
        <v>449</v>
      </c>
      <c r="BK20" s="40" t="s">
        <v>4</v>
      </c>
      <c r="BL20" s="37" t="s">
        <v>396</v>
      </c>
      <c r="BM20" s="37" t="s">
        <v>397</v>
      </c>
      <c r="BN20" s="37" t="s">
        <v>397</v>
      </c>
      <c r="BO20" s="37" t="s">
        <v>398</v>
      </c>
      <c r="BP20" s="37" t="s">
        <v>397</v>
      </c>
      <c r="BQ20" s="37" t="s">
        <v>397</v>
      </c>
      <c r="BR20" s="37" t="s">
        <v>405</v>
      </c>
      <c r="BS20" s="37" t="s">
        <v>405</v>
      </c>
      <c r="BT20" s="37" t="s">
        <v>194</v>
      </c>
      <c r="BU20" s="37" t="s">
        <v>401</v>
      </c>
      <c r="BV20" s="37" t="s">
        <v>195</v>
      </c>
      <c r="BW20" s="37" t="s">
        <v>402</v>
      </c>
    </row>
    <row r="21" customFormat="false" ht="14.9" hidden="false" customHeight="false" outlineLevel="0" collapsed="false">
      <c r="A21" s="37" t="s">
        <v>450</v>
      </c>
      <c r="B21" s="62" t="s">
        <v>189</v>
      </c>
      <c r="C21" s="37" t="s">
        <v>188</v>
      </c>
      <c r="D21" s="37" t="n">
        <f aca="false">INDEX(Strain_IDs!C:C,MATCH(Table1[[#This Row],[Strains]],Strain_IDs!D:D,0))</f>
        <v>13</v>
      </c>
      <c r="E21" s="37" t="s">
        <v>382</v>
      </c>
      <c r="F21" s="37" t="s">
        <v>20</v>
      </c>
      <c r="G21" s="37" t="s">
        <v>21</v>
      </c>
      <c r="H21" s="37" t="s">
        <v>27</v>
      </c>
      <c r="I21" s="37" t="s">
        <v>383</v>
      </c>
      <c r="J21" s="37"/>
      <c r="K21" s="37" t="s">
        <v>384</v>
      </c>
      <c r="L21" s="37" t="s">
        <v>20</v>
      </c>
      <c r="M21" s="37" t="s">
        <v>385</v>
      </c>
      <c r="N21" s="37" t="s">
        <v>19</v>
      </c>
      <c r="O21" s="37" t="s">
        <v>383</v>
      </c>
      <c r="P21" s="37"/>
      <c r="Q21" s="37" t="s">
        <v>386</v>
      </c>
      <c r="R21" s="37" t="s">
        <v>62</v>
      </c>
      <c r="S21" s="37" t="s">
        <v>63</v>
      </c>
      <c r="T21" s="37" t="s">
        <v>387</v>
      </c>
      <c r="U21" s="37"/>
      <c r="V21" s="37"/>
      <c r="W21" s="37" t="s">
        <v>451</v>
      </c>
      <c r="X21" s="37" t="n">
        <v>46</v>
      </c>
      <c r="Y21" s="37"/>
      <c r="Z21" s="37"/>
      <c r="AA21" s="37"/>
      <c r="AB21" s="37"/>
      <c r="AC21" s="37"/>
      <c r="AD21" s="37"/>
      <c r="AE21" s="37"/>
      <c r="AF21" s="37" t="s">
        <v>389</v>
      </c>
      <c r="AG21" s="62" t="s">
        <v>446</v>
      </c>
      <c r="AH21" s="63" t="s">
        <v>447</v>
      </c>
      <c r="AI21" s="62"/>
      <c r="AJ21" s="37" t="s">
        <v>448</v>
      </c>
      <c r="AK21" s="37" t="n">
        <f aca="false">SUM(Table1[[#This Row],[reported_1302]:[reported_1286_iso]])</f>
        <v>93.8</v>
      </c>
      <c r="AL21" s="64" t="n">
        <v>0.4</v>
      </c>
      <c r="AM21" s="64" t="n">
        <v>3.9</v>
      </c>
      <c r="AN21" s="64" t="n">
        <v>1.4</v>
      </c>
      <c r="AO21" s="64" t="n">
        <v>2.9</v>
      </c>
      <c r="AP21" s="64" t="n">
        <v>51</v>
      </c>
      <c r="AQ21" s="64" t="n">
        <v>12</v>
      </c>
      <c r="AR21" s="64" t="n">
        <v>16</v>
      </c>
      <c r="AS21" s="64"/>
      <c r="AT21" s="64"/>
      <c r="AU21" s="64"/>
      <c r="AV21" s="64"/>
      <c r="AW21" s="64" t="n">
        <v>6.2</v>
      </c>
      <c r="AX21" s="64"/>
      <c r="AY21" s="64"/>
      <c r="AZ21" s="64"/>
      <c r="BA21" s="64" t="n">
        <f aca="false">AL21/SUM($AL21:$AQ21)</f>
        <v>0.00558659217877095</v>
      </c>
      <c r="BB21" s="64" t="n">
        <f aca="false">AM21/SUM($AL21:$AQ21)</f>
        <v>0.0544692737430168</v>
      </c>
      <c r="BC21" s="64" t="n">
        <f aca="false">AN21/SUM($AL21:$AQ21)</f>
        <v>0.0195530726256983</v>
      </c>
      <c r="BD21" s="64" t="n">
        <f aca="false">AO21/SUM($AL21:$AQ21)</f>
        <v>0.0405027932960894</v>
      </c>
      <c r="BE21" s="64" t="n">
        <f aca="false">AP21/SUM($AL21:$AQ21)</f>
        <v>0.712290502793296</v>
      </c>
      <c r="BF21" s="64" t="n">
        <f aca="false">AQ21/SUM($AL21:$AQ21)</f>
        <v>0.167597765363129</v>
      </c>
      <c r="BG21" s="65" t="e">
        <f aca="false">#N/A</f>
        <v>#N/A</v>
      </c>
      <c r="BH21" s="37" t="s">
        <v>393</v>
      </c>
      <c r="BI21" s="37" t="s">
        <v>394</v>
      </c>
      <c r="BJ21" s="37" t="s">
        <v>449</v>
      </c>
      <c r="BK21" s="40" t="s">
        <v>4</v>
      </c>
      <c r="BL21" s="37" t="s">
        <v>396</v>
      </c>
      <c r="BM21" s="37" t="s">
        <v>397</v>
      </c>
      <c r="BN21" s="37" t="s">
        <v>397</v>
      </c>
      <c r="BO21" s="37" t="s">
        <v>398</v>
      </c>
      <c r="BP21" s="37" t="s">
        <v>397</v>
      </c>
      <c r="BQ21" s="37" t="s">
        <v>397</v>
      </c>
      <c r="BR21" s="37" t="s">
        <v>405</v>
      </c>
      <c r="BS21" s="37" t="s">
        <v>405</v>
      </c>
      <c r="BT21" s="37" t="s">
        <v>194</v>
      </c>
      <c r="BU21" s="37" t="s">
        <v>401</v>
      </c>
      <c r="BV21" s="37" t="s">
        <v>195</v>
      </c>
      <c r="BW21" s="37" t="s">
        <v>402</v>
      </c>
    </row>
    <row r="22" customFormat="false" ht="14.9" hidden="false" customHeight="false" outlineLevel="0" collapsed="false">
      <c r="A22" s="37" t="s">
        <v>452</v>
      </c>
      <c r="B22" s="62" t="s">
        <v>189</v>
      </c>
      <c r="C22" s="37" t="s">
        <v>188</v>
      </c>
      <c r="D22" s="37" t="n">
        <f aca="false">INDEX(Strain_IDs!C:C,MATCH(Table1[[#This Row],[Strains]],Strain_IDs!D:D,0))</f>
        <v>13</v>
      </c>
      <c r="E22" s="37" t="s">
        <v>382</v>
      </c>
      <c r="F22" s="37" t="s">
        <v>20</v>
      </c>
      <c r="G22" s="37" t="s">
        <v>21</v>
      </c>
      <c r="H22" s="37" t="s">
        <v>27</v>
      </c>
      <c r="I22" s="37" t="s">
        <v>383</v>
      </c>
      <c r="J22" s="37"/>
      <c r="K22" s="37" t="s">
        <v>384</v>
      </c>
      <c r="L22" s="37" t="s">
        <v>20</v>
      </c>
      <c r="M22" s="37" t="s">
        <v>385</v>
      </c>
      <c r="N22" s="37" t="s">
        <v>19</v>
      </c>
      <c r="O22" s="37" t="s">
        <v>383</v>
      </c>
      <c r="P22" s="37"/>
      <c r="Q22" s="37" t="s">
        <v>386</v>
      </c>
      <c r="R22" s="37" t="s">
        <v>62</v>
      </c>
      <c r="S22" s="37" t="s">
        <v>63</v>
      </c>
      <c r="T22" s="37" t="s">
        <v>387</v>
      </c>
      <c r="U22" s="37"/>
      <c r="V22" s="37"/>
      <c r="W22" s="37" t="s">
        <v>453</v>
      </c>
      <c r="X22" s="37" t="n">
        <v>50</v>
      </c>
      <c r="Y22" s="37"/>
      <c r="Z22" s="37"/>
      <c r="AA22" s="37"/>
      <c r="AB22" s="37"/>
      <c r="AC22" s="37"/>
      <c r="AD22" s="37"/>
      <c r="AE22" s="37"/>
      <c r="AF22" s="37" t="s">
        <v>389</v>
      </c>
      <c r="AG22" s="62" t="s">
        <v>446</v>
      </c>
      <c r="AH22" s="63" t="s">
        <v>447</v>
      </c>
      <c r="AI22" s="62"/>
      <c r="AJ22" s="37" t="s">
        <v>448</v>
      </c>
      <c r="AK22" s="37" t="n">
        <f aca="false">SUM(Table1[[#This Row],[reported_1302]:[reported_1286_iso]])</f>
        <v>94.9</v>
      </c>
      <c r="AL22" s="64" t="n">
        <v>0.5</v>
      </c>
      <c r="AM22" s="64" t="n">
        <v>4.8</v>
      </c>
      <c r="AN22" s="64" t="n">
        <v>1.5</v>
      </c>
      <c r="AO22" s="64" t="n">
        <v>2.3</v>
      </c>
      <c r="AP22" s="64" t="n">
        <v>59</v>
      </c>
      <c r="AQ22" s="64" t="n">
        <v>11</v>
      </c>
      <c r="AR22" s="64" t="n">
        <v>11</v>
      </c>
      <c r="AS22" s="64"/>
      <c r="AT22" s="64"/>
      <c r="AU22" s="64"/>
      <c r="AV22" s="64"/>
      <c r="AW22" s="64" t="n">
        <v>4.8</v>
      </c>
      <c r="AX22" s="64"/>
      <c r="AY22" s="64"/>
      <c r="AZ22" s="64"/>
      <c r="BA22" s="64" t="n">
        <f aca="false">AL22/SUM($AL22:$AQ22)</f>
        <v>0.00632111251580278</v>
      </c>
      <c r="BB22" s="64" t="n">
        <f aca="false">AM22/SUM($AL22:$AQ22)</f>
        <v>0.0606826801517067</v>
      </c>
      <c r="BC22" s="64" t="n">
        <f aca="false">AN22/SUM($AL22:$AQ22)</f>
        <v>0.0189633375474083</v>
      </c>
      <c r="BD22" s="64" t="n">
        <f aca="false">AO22/SUM($AL22:$AQ22)</f>
        <v>0.0290771175726928</v>
      </c>
      <c r="BE22" s="64" t="n">
        <f aca="false">AP22/SUM($AL22:$AQ22)</f>
        <v>0.745891276864728</v>
      </c>
      <c r="BF22" s="64" t="n">
        <f aca="false">AQ22/SUM($AL22:$AQ22)</f>
        <v>0.139064475347661</v>
      </c>
      <c r="BG22" s="65" t="e">
        <f aca="false">#N/A</f>
        <v>#N/A</v>
      </c>
      <c r="BH22" s="37" t="s">
        <v>393</v>
      </c>
      <c r="BI22" s="37" t="s">
        <v>394</v>
      </c>
      <c r="BJ22" s="37" t="s">
        <v>449</v>
      </c>
      <c r="BK22" s="40" t="s">
        <v>4</v>
      </c>
      <c r="BL22" s="37" t="s">
        <v>396</v>
      </c>
      <c r="BM22" s="37" t="s">
        <v>397</v>
      </c>
      <c r="BN22" s="37" t="s">
        <v>397</v>
      </c>
      <c r="BO22" s="37" t="s">
        <v>398</v>
      </c>
      <c r="BP22" s="37" t="s">
        <v>397</v>
      </c>
      <c r="BQ22" s="37" t="s">
        <v>397</v>
      </c>
      <c r="BR22" s="37" t="s">
        <v>405</v>
      </c>
      <c r="BS22" s="37" t="s">
        <v>405</v>
      </c>
      <c r="BT22" s="37" t="s">
        <v>194</v>
      </c>
      <c r="BU22" s="37" t="s">
        <v>401</v>
      </c>
      <c r="BV22" s="37" t="s">
        <v>195</v>
      </c>
      <c r="BW22" s="37" t="s">
        <v>402</v>
      </c>
    </row>
    <row r="23" customFormat="false" ht="14.9" hidden="false" customHeight="false" outlineLevel="0" collapsed="false">
      <c r="A23" s="37" t="s">
        <v>454</v>
      </c>
      <c r="B23" s="62" t="s">
        <v>111</v>
      </c>
      <c r="C23" s="37" t="s">
        <v>110</v>
      </c>
      <c r="D23" s="37" t="n">
        <f aca="false">INDEX(Strain_IDs!C:C,MATCH(Table1[[#This Row],[Strains]],Strain_IDs!D:D,0))</f>
        <v>5.2</v>
      </c>
      <c r="E23" s="37" t="s">
        <v>382</v>
      </c>
      <c r="F23" s="37" t="s">
        <v>20</v>
      </c>
      <c r="G23" s="37" t="s">
        <v>21</v>
      </c>
      <c r="H23" s="37" t="s">
        <v>27</v>
      </c>
      <c r="I23" s="37" t="s">
        <v>455</v>
      </c>
      <c r="J23" s="37"/>
      <c r="K23" s="37" t="s">
        <v>384</v>
      </c>
      <c r="L23" s="37" t="s">
        <v>20</v>
      </c>
      <c r="M23" s="37" t="s">
        <v>385</v>
      </c>
      <c r="N23" s="37" t="s">
        <v>27</v>
      </c>
      <c r="O23" s="40" t="s">
        <v>455</v>
      </c>
      <c r="P23" s="40"/>
      <c r="Q23" s="37" t="s">
        <v>456</v>
      </c>
      <c r="R23" s="37" t="s">
        <v>62</v>
      </c>
      <c r="S23" s="37" t="s">
        <v>63</v>
      </c>
      <c r="T23" s="37" t="s">
        <v>457</v>
      </c>
      <c r="U23" s="37" t="s">
        <v>458</v>
      </c>
      <c r="V23" s="37" t="s">
        <v>459</v>
      </c>
      <c r="W23" s="37" t="s">
        <v>460</v>
      </c>
      <c r="X23" s="37" t="n">
        <v>18</v>
      </c>
      <c r="Y23" s="37"/>
      <c r="Z23" s="37" t="n">
        <v>7.5</v>
      </c>
      <c r="AA23" s="37"/>
      <c r="AB23" s="37"/>
      <c r="AC23" s="37"/>
      <c r="AD23" s="37"/>
      <c r="AE23" s="37"/>
      <c r="AF23" s="37" t="s">
        <v>389</v>
      </c>
      <c r="AG23" s="62" t="s">
        <v>446</v>
      </c>
      <c r="AH23" s="63" t="s">
        <v>461</v>
      </c>
      <c r="AI23" s="62"/>
      <c r="AJ23" s="37" t="s">
        <v>462</v>
      </c>
      <c r="AK23" s="37" t="n">
        <f aca="false">SUM(Table1[[#This Row],[reported_1302]:[reported_1286_iso]])</f>
        <v>99.9</v>
      </c>
      <c r="AL23" s="64" t="n">
        <v>10</v>
      </c>
      <c r="AM23" s="64" t="n">
        <v>8.4</v>
      </c>
      <c r="AN23" s="64" t="n">
        <v>14.2</v>
      </c>
      <c r="AO23" s="64" t="n">
        <v>35.3</v>
      </c>
      <c r="AP23" s="64" t="n">
        <v>13.3</v>
      </c>
      <c r="AQ23" s="64" t="n">
        <v>1.3</v>
      </c>
      <c r="AR23" s="64" t="n">
        <v>17.4</v>
      </c>
      <c r="AS23" s="64"/>
      <c r="AT23" s="64"/>
      <c r="AU23" s="64"/>
      <c r="AV23" s="64"/>
      <c r="AW23" s="64"/>
      <c r="AX23" s="64"/>
      <c r="AY23" s="64"/>
      <c r="AZ23" s="64"/>
      <c r="BA23" s="64" t="n">
        <f aca="false">AL23/SUM($AL23:$AQ23)</f>
        <v>0.121212121212121</v>
      </c>
      <c r="BB23" s="64" t="n">
        <f aca="false">AM23/SUM($AL23:$AQ23)</f>
        <v>0.101818181818182</v>
      </c>
      <c r="BC23" s="64" t="n">
        <f aca="false">AN23/SUM($AL23:$AQ23)</f>
        <v>0.172121212121212</v>
      </c>
      <c r="BD23" s="64" t="n">
        <f aca="false">AO23/SUM($AL23:$AQ23)</f>
        <v>0.427878787878788</v>
      </c>
      <c r="BE23" s="64" t="n">
        <f aca="false">AP23/SUM($AL23:$AQ23)</f>
        <v>0.161212121212121</v>
      </c>
      <c r="BF23" s="64" t="n">
        <f aca="false">AQ23/SUM($AL23:$AQ23)</f>
        <v>0.0157575757575758</v>
      </c>
      <c r="BG23" s="65" t="e">
        <f aca="false">#N/A</f>
        <v>#N/A</v>
      </c>
      <c r="BH23" s="37" t="s">
        <v>393</v>
      </c>
      <c r="BI23" s="37" t="s">
        <v>463</v>
      </c>
      <c r="BJ23" s="37" t="s">
        <v>464</v>
      </c>
      <c r="BK23" s="40" t="s">
        <v>4</v>
      </c>
      <c r="BL23" s="37" t="s">
        <v>4</v>
      </c>
      <c r="BM23" s="37" t="s">
        <v>397</v>
      </c>
      <c r="BN23" s="37" t="s">
        <v>397</v>
      </c>
      <c r="BO23" s="37" t="s">
        <v>465</v>
      </c>
      <c r="BP23" s="37" t="s">
        <v>397</v>
      </c>
      <c r="BQ23" s="37" t="s">
        <v>399</v>
      </c>
      <c r="BR23" s="37" t="s">
        <v>400</v>
      </c>
      <c r="BS23" s="37" t="s">
        <v>405</v>
      </c>
      <c r="BT23" s="37" t="s">
        <v>114</v>
      </c>
      <c r="BU23" s="37" t="s">
        <v>466</v>
      </c>
      <c r="BV23" s="37" t="s">
        <v>115</v>
      </c>
      <c r="BW23" s="37" t="s">
        <v>402</v>
      </c>
    </row>
    <row r="24" customFormat="false" ht="14.9" hidden="false" customHeight="false" outlineLevel="0" collapsed="false">
      <c r="A24" s="37" t="s">
        <v>467</v>
      </c>
      <c r="B24" s="62" t="s">
        <v>111</v>
      </c>
      <c r="C24" s="37" t="s">
        <v>110</v>
      </c>
      <c r="D24" s="37" t="n">
        <f aca="false">INDEX(Strain_IDs!C:C,MATCH(Table1[[#This Row],[Strains]],Strain_IDs!D:D,0))</f>
        <v>5.2</v>
      </c>
      <c r="E24" s="37" t="s">
        <v>382</v>
      </c>
      <c r="F24" s="37" t="s">
        <v>20</v>
      </c>
      <c r="G24" s="37" t="s">
        <v>21</v>
      </c>
      <c r="H24" s="37" t="s">
        <v>27</v>
      </c>
      <c r="I24" s="37" t="s">
        <v>455</v>
      </c>
      <c r="J24" s="37"/>
      <c r="K24" s="37" t="s">
        <v>384</v>
      </c>
      <c r="L24" s="37" t="s">
        <v>20</v>
      </c>
      <c r="M24" s="37" t="s">
        <v>385</v>
      </c>
      <c r="N24" s="37" t="s">
        <v>27</v>
      </c>
      <c r="O24" s="40" t="s">
        <v>455</v>
      </c>
      <c r="P24" s="40"/>
      <c r="Q24" s="37" t="s">
        <v>456</v>
      </c>
      <c r="R24" s="37" t="s">
        <v>62</v>
      </c>
      <c r="S24" s="37" t="s">
        <v>63</v>
      </c>
      <c r="T24" s="37" t="s">
        <v>457</v>
      </c>
      <c r="U24" s="37" t="s">
        <v>458</v>
      </c>
      <c r="V24" s="37" t="s">
        <v>459</v>
      </c>
      <c r="W24" s="37" t="s">
        <v>468</v>
      </c>
      <c r="X24" s="37" t="n">
        <v>22</v>
      </c>
      <c r="Y24" s="37"/>
      <c r="Z24" s="37" t="n">
        <v>7.5</v>
      </c>
      <c r="AA24" s="37"/>
      <c r="AB24" s="37"/>
      <c r="AC24" s="37"/>
      <c r="AD24" s="37"/>
      <c r="AE24" s="37"/>
      <c r="AF24" s="37" t="s">
        <v>389</v>
      </c>
      <c r="AG24" s="62" t="s">
        <v>446</v>
      </c>
      <c r="AH24" s="63" t="s">
        <v>461</v>
      </c>
      <c r="AI24" s="62"/>
      <c r="AJ24" s="37" t="s">
        <v>462</v>
      </c>
      <c r="AK24" s="37" t="n">
        <f aca="false">SUM(Table1[[#This Row],[reported_1302]:[reported_1286_iso]])</f>
        <v>100.1</v>
      </c>
      <c r="AL24" s="64" t="n">
        <v>14.4</v>
      </c>
      <c r="AM24" s="64" t="n">
        <v>9.6</v>
      </c>
      <c r="AN24" s="64" t="n">
        <v>23.3</v>
      </c>
      <c r="AO24" s="64" t="n">
        <v>21.4</v>
      </c>
      <c r="AP24" s="64" t="n">
        <v>17.5</v>
      </c>
      <c r="AQ24" s="64" t="n">
        <v>1.3</v>
      </c>
      <c r="AR24" s="64" t="n">
        <v>12.6</v>
      </c>
      <c r="AS24" s="64"/>
      <c r="AT24" s="64"/>
      <c r="AU24" s="64"/>
      <c r="AV24" s="64"/>
      <c r="AW24" s="64"/>
      <c r="AX24" s="64"/>
      <c r="AY24" s="64"/>
      <c r="AZ24" s="64"/>
      <c r="BA24" s="64" t="n">
        <f aca="false">AL24/SUM($AL24:$AQ24)</f>
        <v>0.164571428571429</v>
      </c>
      <c r="BB24" s="64" t="n">
        <f aca="false">AM24/SUM($AL24:$AQ24)</f>
        <v>0.109714285714286</v>
      </c>
      <c r="BC24" s="64" t="n">
        <f aca="false">AN24/SUM($AL24:$AQ24)</f>
        <v>0.266285714285714</v>
      </c>
      <c r="BD24" s="64" t="n">
        <f aca="false">AO24/SUM($AL24:$AQ24)</f>
        <v>0.244571428571429</v>
      </c>
      <c r="BE24" s="64" t="n">
        <f aca="false">AP24/SUM($AL24:$AQ24)</f>
        <v>0.2</v>
      </c>
      <c r="BF24" s="64" t="n">
        <f aca="false">AQ24/SUM($AL24:$AQ24)</f>
        <v>0.0148571428571429</v>
      </c>
      <c r="BG24" s="65" t="e">
        <f aca="false">#N/A</f>
        <v>#N/A</v>
      </c>
      <c r="BH24" s="37" t="s">
        <v>393</v>
      </c>
      <c r="BI24" s="37" t="s">
        <v>463</v>
      </c>
      <c r="BJ24" s="37" t="s">
        <v>464</v>
      </c>
      <c r="BK24" s="40" t="s">
        <v>4</v>
      </c>
      <c r="BL24" s="37" t="s">
        <v>4</v>
      </c>
      <c r="BM24" s="37" t="s">
        <v>397</v>
      </c>
      <c r="BN24" s="37" t="s">
        <v>397</v>
      </c>
      <c r="BO24" s="37" t="s">
        <v>465</v>
      </c>
      <c r="BP24" s="37" t="s">
        <v>397</v>
      </c>
      <c r="BQ24" s="37" t="s">
        <v>399</v>
      </c>
      <c r="BR24" s="37" t="s">
        <v>400</v>
      </c>
      <c r="BS24" s="37" t="s">
        <v>405</v>
      </c>
      <c r="BT24" s="37" t="s">
        <v>114</v>
      </c>
      <c r="BU24" s="37" t="s">
        <v>466</v>
      </c>
      <c r="BV24" s="37" t="s">
        <v>115</v>
      </c>
      <c r="BW24" s="37" t="s">
        <v>402</v>
      </c>
    </row>
    <row r="25" customFormat="false" ht="14.9" hidden="false" customHeight="false" outlineLevel="0" collapsed="false">
      <c r="A25" s="37" t="s">
        <v>469</v>
      </c>
      <c r="B25" s="62" t="s">
        <v>111</v>
      </c>
      <c r="C25" s="37" t="s">
        <v>110</v>
      </c>
      <c r="D25" s="37" t="n">
        <f aca="false">INDEX(Strain_IDs!C:C,MATCH(Table1[[#This Row],[Strains]],Strain_IDs!D:D,0))</f>
        <v>5.2</v>
      </c>
      <c r="E25" s="37" t="s">
        <v>382</v>
      </c>
      <c r="F25" s="37" t="s">
        <v>20</v>
      </c>
      <c r="G25" s="37" t="s">
        <v>21</v>
      </c>
      <c r="H25" s="37" t="s">
        <v>27</v>
      </c>
      <c r="I25" s="37" t="s">
        <v>455</v>
      </c>
      <c r="J25" s="37"/>
      <c r="K25" s="37" t="s">
        <v>384</v>
      </c>
      <c r="L25" s="37" t="s">
        <v>20</v>
      </c>
      <c r="M25" s="37" t="s">
        <v>385</v>
      </c>
      <c r="N25" s="37" t="s">
        <v>27</v>
      </c>
      <c r="O25" s="40" t="s">
        <v>455</v>
      </c>
      <c r="P25" s="40"/>
      <c r="Q25" s="37" t="s">
        <v>456</v>
      </c>
      <c r="R25" s="37" t="s">
        <v>62</v>
      </c>
      <c r="S25" s="37" t="s">
        <v>63</v>
      </c>
      <c r="T25" s="37" t="s">
        <v>457</v>
      </c>
      <c r="U25" s="37" t="s">
        <v>458</v>
      </c>
      <c r="V25" s="37" t="s">
        <v>459</v>
      </c>
      <c r="W25" s="37" t="s">
        <v>470</v>
      </c>
      <c r="X25" s="37" t="n">
        <v>28</v>
      </c>
      <c r="Y25" s="37"/>
      <c r="Z25" s="37" t="n">
        <v>7.5</v>
      </c>
      <c r="AA25" s="37"/>
      <c r="AB25" s="37"/>
      <c r="AC25" s="37"/>
      <c r="AD25" s="37"/>
      <c r="AE25" s="37"/>
      <c r="AF25" s="37" t="s">
        <v>389</v>
      </c>
      <c r="AG25" s="62" t="s">
        <v>446</v>
      </c>
      <c r="AH25" s="63" t="s">
        <v>461</v>
      </c>
      <c r="AI25" s="62"/>
      <c r="AJ25" s="37" t="s">
        <v>462</v>
      </c>
      <c r="AK25" s="37" t="n">
        <f aca="false">SUM(Table1[[#This Row],[reported_1302]:[reported_1286_iso]])</f>
        <v>100</v>
      </c>
      <c r="AL25" s="64" t="n">
        <v>10.5</v>
      </c>
      <c r="AM25" s="64" t="n">
        <v>7.1</v>
      </c>
      <c r="AN25" s="64" t="n">
        <v>23.1</v>
      </c>
      <c r="AO25" s="64" t="n">
        <v>21.7</v>
      </c>
      <c r="AP25" s="64" t="n">
        <v>23.9</v>
      </c>
      <c r="AQ25" s="64" t="n">
        <v>2.2</v>
      </c>
      <c r="AR25" s="64" t="n">
        <v>11.5</v>
      </c>
      <c r="AS25" s="64"/>
      <c r="AT25" s="64"/>
      <c r="AU25" s="64"/>
      <c r="AV25" s="64"/>
      <c r="AW25" s="64"/>
      <c r="AX25" s="64"/>
      <c r="AY25" s="64"/>
      <c r="AZ25" s="64"/>
      <c r="BA25" s="64" t="n">
        <f aca="false">AL25/SUM($AL25:$AQ25)</f>
        <v>0.11864406779661</v>
      </c>
      <c r="BB25" s="64" t="n">
        <f aca="false">AM25/SUM($AL25:$AQ25)</f>
        <v>0.080225988700565</v>
      </c>
      <c r="BC25" s="64" t="n">
        <f aca="false">AN25/SUM($AL25:$AQ25)</f>
        <v>0.261016949152542</v>
      </c>
      <c r="BD25" s="64" t="n">
        <f aca="false">AO25/SUM($AL25:$AQ25)</f>
        <v>0.245197740112994</v>
      </c>
      <c r="BE25" s="64" t="n">
        <f aca="false">AP25/SUM($AL25:$AQ25)</f>
        <v>0.270056497175141</v>
      </c>
      <c r="BF25" s="64" t="n">
        <f aca="false">AQ25/SUM($AL25:$AQ25)</f>
        <v>0.0248587570621469</v>
      </c>
      <c r="BG25" s="65" t="e">
        <f aca="false">#N/A</f>
        <v>#N/A</v>
      </c>
      <c r="BH25" s="37" t="s">
        <v>393</v>
      </c>
      <c r="BI25" s="37" t="s">
        <v>463</v>
      </c>
      <c r="BJ25" s="37" t="s">
        <v>464</v>
      </c>
      <c r="BK25" s="40" t="s">
        <v>4</v>
      </c>
      <c r="BL25" s="37" t="s">
        <v>4</v>
      </c>
      <c r="BM25" s="37" t="s">
        <v>397</v>
      </c>
      <c r="BN25" s="37" t="s">
        <v>397</v>
      </c>
      <c r="BO25" s="37" t="s">
        <v>465</v>
      </c>
      <c r="BP25" s="37" t="s">
        <v>397</v>
      </c>
      <c r="BQ25" s="37" t="s">
        <v>399</v>
      </c>
      <c r="BR25" s="37" t="s">
        <v>400</v>
      </c>
      <c r="BS25" s="37" t="s">
        <v>405</v>
      </c>
      <c r="BT25" s="37" t="s">
        <v>114</v>
      </c>
      <c r="BU25" s="37" t="s">
        <v>466</v>
      </c>
      <c r="BV25" s="37" t="s">
        <v>115</v>
      </c>
      <c r="BW25" s="37" t="s">
        <v>402</v>
      </c>
    </row>
    <row r="26" customFormat="false" ht="14.9" hidden="false" customHeight="false" outlineLevel="0" collapsed="false">
      <c r="A26" s="37" t="s">
        <v>471</v>
      </c>
      <c r="B26" s="62" t="s">
        <v>111</v>
      </c>
      <c r="C26" s="37" t="s">
        <v>110</v>
      </c>
      <c r="D26" s="37" t="n">
        <f aca="false">INDEX(Strain_IDs!C:C,MATCH(Table1[[#This Row],[Strains]],Strain_IDs!D:D,0))</f>
        <v>5.2</v>
      </c>
      <c r="E26" s="37" t="s">
        <v>382</v>
      </c>
      <c r="F26" s="37" t="s">
        <v>20</v>
      </c>
      <c r="G26" s="37" t="s">
        <v>21</v>
      </c>
      <c r="H26" s="37" t="s">
        <v>27</v>
      </c>
      <c r="I26" s="37" t="s">
        <v>455</v>
      </c>
      <c r="J26" s="37"/>
      <c r="K26" s="37" t="s">
        <v>384</v>
      </c>
      <c r="L26" s="37" t="s">
        <v>20</v>
      </c>
      <c r="M26" s="37" t="s">
        <v>385</v>
      </c>
      <c r="N26" s="37" t="s">
        <v>27</v>
      </c>
      <c r="O26" s="40" t="s">
        <v>455</v>
      </c>
      <c r="P26" s="40"/>
      <c r="Q26" s="37" t="s">
        <v>456</v>
      </c>
      <c r="R26" s="37" t="s">
        <v>62</v>
      </c>
      <c r="S26" s="37" t="s">
        <v>63</v>
      </c>
      <c r="T26" s="37" t="s">
        <v>457</v>
      </c>
      <c r="U26" s="37" t="s">
        <v>458</v>
      </c>
      <c r="V26" s="37" t="s">
        <v>459</v>
      </c>
      <c r="W26" s="37" t="s">
        <v>472</v>
      </c>
      <c r="X26" s="37" t="n">
        <v>35</v>
      </c>
      <c r="Y26" s="37"/>
      <c r="Z26" s="37" t="n">
        <v>7.5</v>
      </c>
      <c r="AA26" s="37"/>
      <c r="AB26" s="37"/>
      <c r="AC26" s="37"/>
      <c r="AD26" s="37"/>
      <c r="AE26" s="37"/>
      <c r="AF26" s="37" t="s">
        <v>389</v>
      </c>
      <c r="AG26" s="62" t="s">
        <v>446</v>
      </c>
      <c r="AH26" s="63" t="s">
        <v>461</v>
      </c>
      <c r="AI26" s="62"/>
      <c r="AJ26" s="37" t="s">
        <v>462</v>
      </c>
      <c r="AK26" s="37" t="n">
        <f aca="false">SUM(Table1[[#This Row],[reported_1302]:[reported_1286_iso]])</f>
        <v>100.1</v>
      </c>
      <c r="AL26" s="64" t="n">
        <v>8.8</v>
      </c>
      <c r="AM26" s="64" t="n">
        <v>7</v>
      </c>
      <c r="AN26" s="64" t="n">
        <v>10.3</v>
      </c>
      <c r="AO26" s="64" t="n">
        <v>14.5</v>
      </c>
      <c r="AP26" s="64" t="n">
        <v>38.7</v>
      </c>
      <c r="AQ26" s="64" t="n">
        <v>4.9</v>
      </c>
      <c r="AR26" s="64" t="n">
        <v>15.9</v>
      </c>
      <c r="AS26" s="64"/>
      <c r="AT26" s="64"/>
      <c r="AU26" s="64"/>
      <c r="AV26" s="64"/>
      <c r="AW26" s="64"/>
      <c r="AX26" s="64"/>
      <c r="AY26" s="64"/>
      <c r="AZ26" s="64"/>
      <c r="BA26" s="64" t="n">
        <f aca="false">AL26/SUM($AL26:$AQ26)</f>
        <v>0.104513064133017</v>
      </c>
      <c r="BB26" s="64" t="n">
        <f aca="false">AM26/SUM($AL26:$AQ26)</f>
        <v>0.0831353919239905</v>
      </c>
      <c r="BC26" s="64" t="n">
        <f aca="false">AN26/SUM($AL26:$AQ26)</f>
        <v>0.122327790973872</v>
      </c>
      <c r="BD26" s="64" t="n">
        <f aca="false">AO26/SUM($AL26:$AQ26)</f>
        <v>0.172209026128266</v>
      </c>
      <c r="BE26" s="64" t="n">
        <f aca="false">AP26/SUM($AL26:$AQ26)</f>
        <v>0.459619952494062</v>
      </c>
      <c r="BF26" s="64" t="n">
        <f aca="false">AQ26/SUM($AL26:$AQ26)</f>
        <v>0.0581947743467934</v>
      </c>
      <c r="BG26" s="65" t="e">
        <f aca="false">#N/A</f>
        <v>#N/A</v>
      </c>
      <c r="BH26" s="37" t="s">
        <v>393</v>
      </c>
      <c r="BI26" s="37" t="s">
        <v>463</v>
      </c>
      <c r="BJ26" s="37" t="s">
        <v>464</v>
      </c>
      <c r="BK26" s="40" t="s">
        <v>4</v>
      </c>
      <c r="BL26" s="37" t="s">
        <v>4</v>
      </c>
      <c r="BM26" s="37" t="s">
        <v>397</v>
      </c>
      <c r="BN26" s="37" t="s">
        <v>397</v>
      </c>
      <c r="BO26" s="37" t="s">
        <v>465</v>
      </c>
      <c r="BP26" s="37" t="s">
        <v>397</v>
      </c>
      <c r="BQ26" s="37" t="s">
        <v>397</v>
      </c>
      <c r="BR26" s="37" t="s">
        <v>405</v>
      </c>
      <c r="BS26" s="37" t="s">
        <v>405</v>
      </c>
      <c r="BT26" s="37" t="s">
        <v>114</v>
      </c>
      <c r="BU26" s="37" t="s">
        <v>466</v>
      </c>
      <c r="BV26" s="37" t="s">
        <v>115</v>
      </c>
      <c r="BW26" s="37" t="s">
        <v>402</v>
      </c>
    </row>
    <row r="27" customFormat="false" ht="14.9" hidden="false" customHeight="false" outlineLevel="0" collapsed="false">
      <c r="A27" s="37" t="s">
        <v>473</v>
      </c>
      <c r="B27" s="62" t="s">
        <v>139</v>
      </c>
      <c r="C27" s="37" t="s">
        <v>138</v>
      </c>
      <c r="D27" s="37" t="n">
        <f aca="false">INDEX(Strain_IDs!C:C,MATCH(Table1[[#This Row],[Strains]],Strain_IDs!D:D,0))</f>
        <v>7.1</v>
      </c>
      <c r="E27" s="37" t="s">
        <v>382</v>
      </c>
      <c r="F27" s="37" t="s">
        <v>20</v>
      </c>
      <c r="G27" s="37" t="s">
        <v>21</v>
      </c>
      <c r="H27" s="37" t="s">
        <v>27</v>
      </c>
      <c r="I27" s="37" t="s">
        <v>455</v>
      </c>
      <c r="J27" s="37"/>
      <c r="K27" s="37" t="s">
        <v>384</v>
      </c>
      <c r="L27" s="37" t="s">
        <v>20</v>
      </c>
      <c r="M27" s="37" t="s">
        <v>385</v>
      </c>
      <c r="N27" s="37" t="s">
        <v>27</v>
      </c>
      <c r="O27" s="40" t="s">
        <v>455</v>
      </c>
      <c r="P27" s="40"/>
      <c r="Q27" s="37" t="s">
        <v>456</v>
      </c>
      <c r="R27" s="37" t="s">
        <v>62</v>
      </c>
      <c r="S27" s="37" t="s">
        <v>63</v>
      </c>
      <c r="T27" s="37" t="s">
        <v>457</v>
      </c>
      <c r="U27" s="37" t="s">
        <v>458</v>
      </c>
      <c r="V27" s="37" t="s">
        <v>459</v>
      </c>
      <c r="W27" s="37" t="s">
        <v>474</v>
      </c>
      <c r="X27" s="37" t="n">
        <v>18</v>
      </c>
      <c r="Y27" s="37"/>
      <c r="Z27" s="37" t="n">
        <v>7.5</v>
      </c>
      <c r="AA27" s="37"/>
      <c r="AB27" s="37"/>
      <c r="AC27" s="37"/>
      <c r="AD27" s="37"/>
      <c r="AE27" s="37"/>
      <c r="AF27" s="37" t="s">
        <v>389</v>
      </c>
      <c r="AG27" s="62" t="s">
        <v>446</v>
      </c>
      <c r="AH27" s="63" t="s">
        <v>461</v>
      </c>
      <c r="AI27" s="62"/>
      <c r="AJ27" s="37" t="s">
        <v>462</v>
      </c>
      <c r="AK27" s="37" t="n">
        <f aca="false">SUM(Table1[[#This Row],[reported_1302]:[reported_1286_iso]])</f>
        <v>100</v>
      </c>
      <c r="AL27" s="64" t="n">
        <v>31.2</v>
      </c>
      <c r="AM27" s="64" t="n">
        <v>18.4</v>
      </c>
      <c r="AN27" s="64" t="n">
        <v>14.9</v>
      </c>
      <c r="AO27" s="64" t="n">
        <v>3.7</v>
      </c>
      <c r="AP27" s="64" t="n">
        <v>30.4</v>
      </c>
      <c r="AQ27" s="64" t="n">
        <v>0.2</v>
      </c>
      <c r="AR27" s="64" t="n">
        <v>1.2</v>
      </c>
      <c r="AS27" s="64"/>
      <c r="AT27" s="64"/>
      <c r="AU27" s="64"/>
      <c r="AV27" s="64"/>
      <c r="AW27" s="64"/>
      <c r="AX27" s="64"/>
      <c r="AY27" s="64"/>
      <c r="AZ27" s="64"/>
      <c r="BA27" s="64" t="n">
        <f aca="false">AL27/SUM($AL27:$AQ27)</f>
        <v>0.315789473684211</v>
      </c>
      <c r="BB27" s="64" t="n">
        <f aca="false">AM27/SUM($AL27:$AQ27)</f>
        <v>0.186234817813765</v>
      </c>
      <c r="BC27" s="64" t="n">
        <f aca="false">AN27/SUM($AL27:$AQ27)</f>
        <v>0.15080971659919</v>
      </c>
      <c r="BD27" s="64" t="n">
        <f aca="false">AO27/SUM($AL27:$AQ27)</f>
        <v>0.0374493927125506</v>
      </c>
      <c r="BE27" s="64" t="n">
        <f aca="false">AP27/SUM($AL27:$AQ27)</f>
        <v>0.307692307692308</v>
      </c>
      <c r="BF27" s="64" t="n">
        <f aca="false">AQ27/SUM($AL27:$AQ27)</f>
        <v>0.00202429149797571</v>
      </c>
      <c r="BG27" s="65" t="e">
        <f aca="false">#N/A</f>
        <v>#N/A</v>
      </c>
      <c r="BH27" s="37" t="s">
        <v>393</v>
      </c>
      <c r="BI27" s="37" t="s">
        <v>463</v>
      </c>
      <c r="BJ27" s="37" t="s">
        <v>464</v>
      </c>
      <c r="BK27" s="40" t="s">
        <v>4</v>
      </c>
      <c r="BL27" s="37" t="s">
        <v>4</v>
      </c>
      <c r="BM27" s="37" t="s">
        <v>397</v>
      </c>
      <c r="BN27" s="37" t="s">
        <v>397</v>
      </c>
      <c r="BO27" s="37" t="s">
        <v>465</v>
      </c>
      <c r="BP27" s="37" t="s">
        <v>397</v>
      </c>
      <c r="BQ27" s="37" t="s">
        <v>399</v>
      </c>
      <c r="BR27" s="37" t="s">
        <v>400</v>
      </c>
      <c r="BS27" s="37" t="s">
        <v>405</v>
      </c>
      <c r="BT27" s="37" t="s">
        <v>114</v>
      </c>
      <c r="BU27" s="37" t="s">
        <v>466</v>
      </c>
      <c r="BV27" s="37" t="s">
        <v>115</v>
      </c>
      <c r="BW27" s="37" t="s">
        <v>402</v>
      </c>
    </row>
    <row r="28" customFormat="false" ht="14.9" hidden="false" customHeight="false" outlineLevel="0" collapsed="false">
      <c r="A28" s="37" t="s">
        <v>475</v>
      </c>
      <c r="B28" s="62" t="s">
        <v>139</v>
      </c>
      <c r="C28" s="37" t="s">
        <v>138</v>
      </c>
      <c r="D28" s="37" t="n">
        <f aca="false">INDEX(Strain_IDs!C:C,MATCH(Table1[[#This Row],[Strains]],Strain_IDs!D:D,0))</f>
        <v>7.1</v>
      </c>
      <c r="E28" s="37" t="s">
        <v>382</v>
      </c>
      <c r="F28" s="37" t="s">
        <v>20</v>
      </c>
      <c r="G28" s="37" t="s">
        <v>21</v>
      </c>
      <c r="H28" s="37" t="s">
        <v>27</v>
      </c>
      <c r="I28" s="37" t="s">
        <v>455</v>
      </c>
      <c r="J28" s="37"/>
      <c r="K28" s="37" t="s">
        <v>384</v>
      </c>
      <c r="L28" s="37" t="s">
        <v>20</v>
      </c>
      <c r="M28" s="37" t="s">
        <v>385</v>
      </c>
      <c r="N28" s="37" t="s">
        <v>27</v>
      </c>
      <c r="O28" s="40" t="s">
        <v>455</v>
      </c>
      <c r="P28" s="40"/>
      <c r="Q28" s="37" t="s">
        <v>456</v>
      </c>
      <c r="R28" s="37" t="s">
        <v>62</v>
      </c>
      <c r="S28" s="37" t="s">
        <v>63</v>
      </c>
      <c r="T28" s="37" t="s">
        <v>457</v>
      </c>
      <c r="U28" s="37" t="s">
        <v>458</v>
      </c>
      <c r="V28" s="37" t="s">
        <v>459</v>
      </c>
      <c r="W28" s="37" t="s">
        <v>476</v>
      </c>
      <c r="X28" s="37" t="n">
        <v>22</v>
      </c>
      <c r="Y28" s="37"/>
      <c r="Z28" s="37" t="n">
        <v>7.5</v>
      </c>
      <c r="AA28" s="37"/>
      <c r="AB28" s="37"/>
      <c r="AC28" s="37"/>
      <c r="AD28" s="37"/>
      <c r="AE28" s="37"/>
      <c r="AF28" s="37" t="s">
        <v>389</v>
      </c>
      <c r="AG28" s="62" t="s">
        <v>446</v>
      </c>
      <c r="AH28" s="63" t="s">
        <v>461</v>
      </c>
      <c r="AI28" s="62"/>
      <c r="AJ28" s="37" t="s">
        <v>462</v>
      </c>
      <c r="AK28" s="37" t="n">
        <f aca="false">SUM(Table1[[#This Row],[reported_1302]:[reported_1286_iso]])</f>
        <v>99.9</v>
      </c>
      <c r="AL28" s="64" t="n">
        <v>12.2</v>
      </c>
      <c r="AM28" s="64" t="n">
        <v>9.6</v>
      </c>
      <c r="AN28" s="64" t="n">
        <v>22.1</v>
      </c>
      <c r="AO28" s="64" t="n">
        <v>19.8</v>
      </c>
      <c r="AP28" s="64" t="n">
        <v>24.3</v>
      </c>
      <c r="AQ28" s="64" t="n">
        <v>1.6</v>
      </c>
      <c r="AR28" s="64" t="n">
        <v>10.3</v>
      </c>
      <c r="AS28" s="64"/>
      <c r="AT28" s="64"/>
      <c r="AU28" s="64"/>
      <c r="AV28" s="64"/>
      <c r="AW28" s="64"/>
      <c r="AX28" s="64"/>
      <c r="AY28" s="64"/>
      <c r="AZ28" s="64"/>
      <c r="BA28" s="64" t="n">
        <f aca="false">AL28/SUM($AL28:$AQ28)</f>
        <v>0.136160714285714</v>
      </c>
      <c r="BB28" s="64" t="n">
        <f aca="false">AM28/SUM($AL28:$AQ28)</f>
        <v>0.107142857142857</v>
      </c>
      <c r="BC28" s="64" t="n">
        <f aca="false">AN28/SUM($AL28:$AQ28)</f>
        <v>0.246651785714286</v>
      </c>
      <c r="BD28" s="64" t="n">
        <f aca="false">AO28/SUM($AL28:$AQ28)</f>
        <v>0.220982142857143</v>
      </c>
      <c r="BE28" s="64" t="n">
        <f aca="false">AP28/SUM($AL28:$AQ28)</f>
        <v>0.271205357142857</v>
      </c>
      <c r="BF28" s="64" t="n">
        <f aca="false">AQ28/SUM($AL28:$AQ28)</f>
        <v>0.0178571428571429</v>
      </c>
      <c r="BG28" s="65" t="e">
        <f aca="false">#N/A</f>
        <v>#N/A</v>
      </c>
      <c r="BH28" s="37" t="s">
        <v>393</v>
      </c>
      <c r="BI28" s="37" t="s">
        <v>463</v>
      </c>
      <c r="BJ28" s="37" t="s">
        <v>464</v>
      </c>
      <c r="BK28" s="40" t="s">
        <v>4</v>
      </c>
      <c r="BL28" s="37" t="s">
        <v>4</v>
      </c>
      <c r="BM28" s="37" t="s">
        <v>397</v>
      </c>
      <c r="BN28" s="37" t="s">
        <v>397</v>
      </c>
      <c r="BO28" s="37" t="s">
        <v>465</v>
      </c>
      <c r="BP28" s="37" t="s">
        <v>397</v>
      </c>
      <c r="BQ28" s="37" t="s">
        <v>399</v>
      </c>
      <c r="BR28" s="37" t="s">
        <v>400</v>
      </c>
      <c r="BS28" s="37" t="s">
        <v>405</v>
      </c>
      <c r="BT28" s="37" t="s">
        <v>114</v>
      </c>
      <c r="BU28" s="37" t="s">
        <v>466</v>
      </c>
      <c r="BV28" s="37" t="s">
        <v>115</v>
      </c>
      <c r="BW28" s="37" t="s">
        <v>402</v>
      </c>
    </row>
    <row r="29" customFormat="false" ht="14.9" hidden="false" customHeight="false" outlineLevel="0" collapsed="false">
      <c r="A29" s="37" t="s">
        <v>477</v>
      </c>
      <c r="B29" s="62" t="s">
        <v>139</v>
      </c>
      <c r="C29" s="37" t="s">
        <v>138</v>
      </c>
      <c r="D29" s="37" t="n">
        <f aca="false">INDEX(Strain_IDs!C:C,MATCH(Table1[[#This Row],[Strains]],Strain_IDs!D:D,0))</f>
        <v>7.1</v>
      </c>
      <c r="E29" s="37" t="s">
        <v>382</v>
      </c>
      <c r="F29" s="37" t="s">
        <v>20</v>
      </c>
      <c r="G29" s="37" t="s">
        <v>21</v>
      </c>
      <c r="H29" s="37" t="s">
        <v>27</v>
      </c>
      <c r="I29" s="37" t="s">
        <v>455</v>
      </c>
      <c r="J29" s="37"/>
      <c r="K29" s="37" t="s">
        <v>384</v>
      </c>
      <c r="L29" s="37" t="s">
        <v>20</v>
      </c>
      <c r="M29" s="37" t="s">
        <v>385</v>
      </c>
      <c r="N29" s="37" t="s">
        <v>27</v>
      </c>
      <c r="O29" s="40" t="s">
        <v>455</v>
      </c>
      <c r="P29" s="40"/>
      <c r="Q29" s="37" t="s">
        <v>456</v>
      </c>
      <c r="R29" s="37" t="s">
        <v>62</v>
      </c>
      <c r="S29" s="37" t="s">
        <v>63</v>
      </c>
      <c r="T29" s="37" t="s">
        <v>457</v>
      </c>
      <c r="U29" s="37" t="s">
        <v>458</v>
      </c>
      <c r="V29" s="37" t="s">
        <v>459</v>
      </c>
      <c r="W29" s="37" t="s">
        <v>478</v>
      </c>
      <c r="X29" s="37" t="n">
        <v>28</v>
      </c>
      <c r="Y29" s="37"/>
      <c r="Z29" s="37" t="n">
        <v>7.5</v>
      </c>
      <c r="AA29" s="37"/>
      <c r="AB29" s="37"/>
      <c r="AC29" s="37"/>
      <c r="AD29" s="37"/>
      <c r="AE29" s="37"/>
      <c r="AF29" s="37" t="s">
        <v>389</v>
      </c>
      <c r="AG29" s="62" t="s">
        <v>446</v>
      </c>
      <c r="AH29" s="63" t="s">
        <v>461</v>
      </c>
      <c r="AI29" s="62"/>
      <c r="AJ29" s="37" t="s">
        <v>462</v>
      </c>
      <c r="AK29" s="37" t="n">
        <f aca="false">SUM(Table1[[#This Row],[reported_1302]:[reported_1286_iso]])</f>
        <v>99.9</v>
      </c>
      <c r="AL29" s="64" t="n">
        <v>7.5</v>
      </c>
      <c r="AM29" s="64" t="n">
        <v>5.9</v>
      </c>
      <c r="AN29" s="64" t="n">
        <v>27</v>
      </c>
      <c r="AO29" s="64" t="n">
        <v>11.3</v>
      </c>
      <c r="AP29" s="64" t="n">
        <v>40.9</v>
      </c>
      <c r="AQ29" s="64" t="n">
        <v>1.2</v>
      </c>
      <c r="AR29" s="64" t="n">
        <v>6.1</v>
      </c>
      <c r="AS29" s="64"/>
      <c r="AT29" s="64"/>
      <c r="AU29" s="64"/>
      <c r="AV29" s="64"/>
      <c r="AW29" s="64"/>
      <c r="AX29" s="64"/>
      <c r="AY29" s="64"/>
      <c r="AZ29" s="64"/>
      <c r="BA29" s="64" t="n">
        <f aca="false">AL29/SUM($AL29:$AQ29)</f>
        <v>0.0799573560767591</v>
      </c>
      <c r="BB29" s="64" t="n">
        <f aca="false">AM29/SUM($AL29:$AQ29)</f>
        <v>0.0628997867803838</v>
      </c>
      <c r="BC29" s="64" t="n">
        <f aca="false">AN29/SUM($AL29:$AQ29)</f>
        <v>0.287846481876333</v>
      </c>
      <c r="BD29" s="64" t="n">
        <f aca="false">AO29/SUM($AL29:$AQ29)</f>
        <v>0.12046908315565</v>
      </c>
      <c r="BE29" s="64" t="n">
        <f aca="false">AP29/SUM($AL29:$AQ29)</f>
        <v>0.436034115138593</v>
      </c>
      <c r="BF29" s="64" t="n">
        <f aca="false">AQ29/SUM($AL29:$AQ29)</f>
        <v>0.0127931769722815</v>
      </c>
      <c r="BG29" s="65" t="e">
        <f aca="false">#N/A</f>
        <v>#N/A</v>
      </c>
      <c r="BH29" s="37" t="s">
        <v>393</v>
      </c>
      <c r="BI29" s="37" t="s">
        <v>463</v>
      </c>
      <c r="BJ29" s="37" t="s">
        <v>464</v>
      </c>
      <c r="BK29" s="40" t="s">
        <v>4</v>
      </c>
      <c r="BL29" s="37" t="s">
        <v>4</v>
      </c>
      <c r="BM29" s="37" t="s">
        <v>397</v>
      </c>
      <c r="BN29" s="37" t="s">
        <v>397</v>
      </c>
      <c r="BO29" s="37" t="s">
        <v>465</v>
      </c>
      <c r="BP29" s="37" t="s">
        <v>397</v>
      </c>
      <c r="BQ29" s="37" t="s">
        <v>399</v>
      </c>
      <c r="BR29" s="37" t="s">
        <v>400</v>
      </c>
      <c r="BS29" s="37" t="s">
        <v>405</v>
      </c>
      <c r="BT29" s="37" t="s">
        <v>114</v>
      </c>
      <c r="BU29" s="37" t="s">
        <v>466</v>
      </c>
      <c r="BV29" s="37" t="s">
        <v>115</v>
      </c>
      <c r="BW29" s="37" t="s">
        <v>402</v>
      </c>
    </row>
    <row r="30" customFormat="false" ht="14.9" hidden="false" customHeight="false" outlineLevel="0" collapsed="false">
      <c r="A30" s="37" t="s">
        <v>479</v>
      </c>
      <c r="B30" s="62" t="s">
        <v>130</v>
      </c>
      <c r="C30" s="37" t="s">
        <v>129</v>
      </c>
      <c r="D30" s="37" t="n">
        <f aca="false">INDEX(Strain_IDs!C:C,MATCH(Table1[[#This Row],[Strains]],Strain_IDs!D:D,0))</f>
        <v>7</v>
      </c>
      <c r="E30" s="37" t="s">
        <v>382</v>
      </c>
      <c r="F30" s="37" t="s">
        <v>20</v>
      </c>
      <c r="G30" s="37" t="s">
        <v>21</v>
      </c>
      <c r="H30" s="37" t="s">
        <v>27</v>
      </c>
      <c r="I30" s="37" t="s">
        <v>455</v>
      </c>
      <c r="J30" s="37" t="s">
        <v>480</v>
      </c>
      <c r="K30" s="37" t="s">
        <v>384</v>
      </c>
      <c r="L30" s="37" t="s">
        <v>20</v>
      </c>
      <c r="M30" s="37" t="s">
        <v>385</v>
      </c>
      <c r="N30" s="37" t="s">
        <v>27</v>
      </c>
      <c r="O30" s="40" t="s">
        <v>455</v>
      </c>
      <c r="P30" s="40" t="s">
        <v>480</v>
      </c>
      <c r="Q30" s="37" t="s">
        <v>456</v>
      </c>
      <c r="R30" s="37" t="s">
        <v>62</v>
      </c>
      <c r="S30" s="37" t="s">
        <v>63</v>
      </c>
      <c r="T30" s="37" t="s">
        <v>387</v>
      </c>
      <c r="U30" s="37" t="s">
        <v>133</v>
      </c>
      <c r="V30" s="37" t="s">
        <v>134</v>
      </c>
      <c r="W30" s="37" t="s">
        <v>481</v>
      </c>
      <c r="X30" s="37" t="n">
        <v>22</v>
      </c>
      <c r="Y30" s="37"/>
      <c r="Z30" s="37" t="n">
        <v>7.5</v>
      </c>
      <c r="AA30" s="37"/>
      <c r="AB30" s="37"/>
      <c r="AC30" s="37"/>
      <c r="AD30" s="37"/>
      <c r="AE30" s="37"/>
      <c r="AF30" s="37" t="s">
        <v>389</v>
      </c>
      <c r="AG30" s="62" t="s">
        <v>446</v>
      </c>
      <c r="AH30" s="63" t="s">
        <v>461</v>
      </c>
      <c r="AI30" s="62"/>
      <c r="AJ30" s="37" t="s">
        <v>462</v>
      </c>
      <c r="AK30" s="37" t="n">
        <f aca="false">SUM(Table1[[#This Row],[reported_1302]:[reported_1286_iso]])</f>
        <v>100.2</v>
      </c>
      <c r="AL30" s="64" t="n">
        <v>25.2</v>
      </c>
      <c r="AM30" s="64" t="n">
        <v>17.1</v>
      </c>
      <c r="AN30" s="64" t="n">
        <v>20.5</v>
      </c>
      <c r="AO30" s="64" t="n">
        <v>5.8</v>
      </c>
      <c r="AP30" s="64" t="n">
        <v>29</v>
      </c>
      <c r="AQ30" s="64" t="n">
        <v>0.4</v>
      </c>
      <c r="AR30" s="64" t="n">
        <v>2.2</v>
      </c>
      <c r="AS30" s="64"/>
      <c r="AT30" s="64"/>
      <c r="AU30" s="64"/>
      <c r="AV30" s="64"/>
      <c r="AW30" s="64"/>
      <c r="AX30" s="64"/>
      <c r="AY30" s="64"/>
      <c r="AZ30" s="64"/>
      <c r="BA30" s="64" t="n">
        <f aca="false">AL30/SUM($AL30:$AQ30)</f>
        <v>0.257142857142857</v>
      </c>
      <c r="BB30" s="64" t="n">
        <f aca="false">AM30/SUM($AL30:$AQ30)</f>
        <v>0.174489795918367</v>
      </c>
      <c r="BC30" s="64" t="n">
        <f aca="false">AN30/SUM($AL30:$AQ30)</f>
        <v>0.209183673469388</v>
      </c>
      <c r="BD30" s="64" t="n">
        <f aca="false">AO30/SUM($AL30:$AQ30)</f>
        <v>0.0591836734693878</v>
      </c>
      <c r="BE30" s="64" t="n">
        <f aca="false">AP30/SUM($AL30:$AQ30)</f>
        <v>0.295918367346939</v>
      </c>
      <c r="BF30" s="64" t="n">
        <f aca="false">AQ30/SUM($AL30:$AQ30)</f>
        <v>0.00408163265306123</v>
      </c>
      <c r="BG30" s="65" t="e">
        <f aca="false">#N/A</f>
        <v>#N/A</v>
      </c>
      <c r="BH30" s="37" t="s">
        <v>393</v>
      </c>
      <c r="BI30" s="37" t="s">
        <v>463</v>
      </c>
      <c r="BJ30" s="37" t="s">
        <v>464</v>
      </c>
      <c r="BK30" s="40" t="s">
        <v>4</v>
      </c>
      <c r="BL30" s="37" t="s">
        <v>4</v>
      </c>
      <c r="BM30" s="37" t="s">
        <v>397</v>
      </c>
      <c r="BN30" s="37" t="s">
        <v>397</v>
      </c>
      <c r="BO30" s="37" t="s">
        <v>465</v>
      </c>
      <c r="BP30" s="37" t="s">
        <v>397</v>
      </c>
      <c r="BQ30" s="37" t="s">
        <v>399</v>
      </c>
      <c r="BR30" s="37" t="s">
        <v>400</v>
      </c>
      <c r="BS30" s="37" t="s">
        <v>405</v>
      </c>
      <c r="BT30" s="37" t="s">
        <v>114</v>
      </c>
      <c r="BU30" s="37" t="s">
        <v>466</v>
      </c>
      <c r="BV30" s="37" t="s">
        <v>115</v>
      </c>
      <c r="BW30" s="37" t="s">
        <v>402</v>
      </c>
    </row>
    <row r="31" customFormat="false" ht="14.9" hidden="false" customHeight="false" outlineLevel="0" collapsed="false">
      <c r="A31" s="37" t="s">
        <v>482</v>
      </c>
      <c r="B31" s="62" t="s">
        <v>130</v>
      </c>
      <c r="C31" s="37" t="s">
        <v>129</v>
      </c>
      <c r="D31" s="37" t="n">
        <f aca="false">INDEX(Strain_IDs!C:C,MATCH(Table1[[#This Row],[Strains]],Strain_IDs!D:D,0))</f>
        <v>7</v>
      </c>
      <c r="E31" s="37" t="s">
        <v>382</v>
      </c>
      <c r="F31" s="37" t="s">
        <v>20</v>
      </c>
      <c r="G31" s="37" t="s">
        <v>21</v>
      </c>
      <c r="H31" s="37" t="s">
        <v>27</v>
      </c>
      <c r="I31" s="37" t="s">
        <v>455</v>
      </c>
      <c r="J31" s="37" t="s">
        <v>480</v>
      </c>
      <c r="K31" s="37" t="s">
        <v>384</v>
      </c>
      <c r="L31" s="37" t="s">
        <v>20</v>
      </c>
      <c r="M31" s="37" t="s">
        <v>385</v>
      </c>
      <c r="N31" s="37" t="s">
        <v>27</v>
      </c>
      <c r="O31" s="40" t="s">
        <v>455</v>
      </c>
      <c r="P31" s="40" t="s">
        <v>480</v>
      </c>
      <c r="Q31" s="37" t="s">
        <v>456</v>
      </c>
      <c r="R31" s="37" t="s">
        <v>62</v>
      </c>
      <c r="S31" s="37" t="s">
        <v>63</v>
      </c>
      <c r="T31" s="37" t="s">
        <v>387</v>
      </c>
      <c r="U31" s="37" t="s">
        <v>133</v>
      </c>
      <c r="V31" s="37" t="s">
        <v>134</v>
      </c>
      <c r="W31" s="37" t="s">
        <v>483</v>
      </c>
      <c r="X31" s="37" t="n">
        <v>25</v>
      </c>
      <c r="Y31" s="37"/>
      <c r="Z31" s="37" t="n">
        <v>7.5</v>
      </c>
      <c r="AA31" s="37"/>
      <c r="AB31" s="37"/>
      <c r="AC31" s="37"/>
      <c r="AD31" s="37"/>
      <c r="AE31" s="37"/>
      <c r="AF31" s="37" t="s">
        <v>389</v>
      </c>
      <c r="AG31" s="62" t="s">
        <v>446</v>
      </c>
      <c r="AH31" s="63" t="s">
        <v>461</v>
      </c>
      <c r="AI31" s="62"/>
      <c r="AJ31" s="37" t="s">
        <v>462</v>
      </c>
      <c r="AK31" s="37" t="n">
        <f aca="false">SUM(Table1[[#This Row],[reported_1302]:[reported_1286_iso]])</f>
        <v>100.1</v>
      </c>
      <c r="AL31" s="64" t="n">
        <v>15.2</v>
      </c>
      <c r="AM31" s="64" t="n">
        <v>12.6</v>
      </c>
      <c r="AN31" s="64" t="n">
        <v>24.3</v>
      </c>
      <c r="AO31" s="64" t="n">
        <v>5.7</v>
      </c>
      <c r="AP31" s="64" t="n">
        <v>38.9</v>
      </c>
      <c r="AQ31" s="64" t="n">
        <v>0.6</v>
      </c>
      <c r="AR31" s="64" t="n">
        <v>2.8</v>
      </c>
      <c r="AS31" s="64"/>
      <c r="AT31" s="64"/>
      <c r="AU31" s="64"/>
      <c r="AV31" s="64"/>
      <c r="AW31" s="64"/>
      <c r="AX31" s="64"/>
      <c r="AY31" s="64"/>
      <c r="AZ31" s="64"/>
      <c r="BA31" s="64" t="n">
        <f aca="false">AL31/SUM($AL31:$AQ31)</f>
        <v>0.156217882836588</v>
      </c>
      <c r="BB31" s="64" t="n">
        <f aca="false">AM31/SUM($AL31:$AQ31)</f>
        <v>0.129496402877698</v>
      </c>
      <c r="BC31" s="64" t="n">
        <f aca="false">AN31/SUM($AL31:$AQ31)</f>
        <v>0.249743062692703</v>
      </c>
      <c r="BD31" s="64" t="n">
        <f aca="false">AO31/SUM($AL31:$AQ31)</f>
        <v>0.0585817060637205</v>
      </c>
      <c r="BE31" s="64" t="n">
        <f aca="false">AP31/SUM($AL31:$AQ31)</f>
        <v>0.399794450154162</v>
      </c>
      <c r="BF31" s="64" t="n">
        <f aca="false">AQ31/SUM($AL31:$AQ31)</f>
        <v>0.00616649537512847</v>
      </c>
      <c r="BG31" s="65" t="e">
        <f aca="false">#N/A</f>
        <v>#N/A</v>
      </c>
      <c r="BH31" s="37" t="s">
        <v>393</v>
      </c>
      <c r="BI31" s="37" t="s">
        <v>463</v>
      </c>
      <c r="BJ31" s="37" t="s">
        <v>464</v>
      </c>
      <c r="BK31" s="40" t="s">
        <v>4</v>
      </c>
      <c r="BL31" s="37" t="s">
        <v>4</v>
      </c>
      <c r="BM31" s="37" t="s">
        <v>397</v>
      </c>
      <c r="BN31" s="37" t="s">
        <v>397</v>
      </c>
      <c r="BO31" s="37" t="s">
        <v>465</v>
      </c>
      <c r="BP31" s="37" t="s">
        <v>397</v>
      </c>
      <c r="BQ31" s="37" t="s">
        <v>399</v>
      </c>
      <c r="BR31" s="37" t="s">
        <v>400</v>
      </c>
      <c r="BS31" s="37" t="s">
        <v>405</v>
      </c>
      <c r="BT31" s="37" t="s">
        <v>114</v>
      </c>
      <c r="BU31" s="37" t="s">
        <v>466</v>
      </c>
      <c r="BV31" s="37" t="s">
        <v>115</v>
      </c>
      <c r="BW31" s="37" t="s">
        <v>402</v>
      </c>
    </row>
    <row r="32" customFormat="false" ht="14.9" hidden="false" customHeight="false" outlineLevel="0" collapsed="false">
      <c r="A32" s="37" t="s">
        <v>484</v>
      </c>
      <c r="B32" s="62" t="s">
        <v>130</v>
      </c>
      <c r="C32" s="37" t="s">
        <v>129</v>
      </c>
      <c r="D32" s="37" t="n">
        <f aca="false">INDEX(Strain_IDs!C:C,MATCH(Table1[[#This Row],[Strains]],Strain_IDs!D:D,0))</f>
        <v>7</v>
      </c>
      <c r="E32" s="37" t="s">
        <v>382</v>
      </c>
      <c r="F32" s="37" t="s">
        <v>20</v>
      </c>
      <c r="G32" s="37" t="s">
        <v>21</v>
      </c>
      <c r="H32" s="37" t="s">
        <v>27</v>
      </c>
      <c r="I32" s="37" t="s">
        <v>455</v>
      </c>
      <c r="J32" s="37" t="s">
        <v>480</v>
      </c>
      <c r="K32" s="37" t="s">
        <v>384</v>
      </c>
      <c r="L32" s="37" t="s">
        <v>20</v>
      </c>
      <c r="M32" s="37" t="s">
        <v>385</v>
      </c>
      <c r="N32" s="37" t="s">
        <v>27</v>
      </c>
      <c r="O32" s="40" t="s">
        <v>455</v>
      </c>
      <c r="P32" s="40" t="s">
        <v>480</v>
      </c>
      <c r="Q32" s="37" t="s">
        <v>456</v>
      </c>
      <c r="R32" s="37" t="s">
        <v>62</v>
      </c>
      <c r="S32" s="37" t="s">
        <v>63</v>
      </c>
      <c r="T32" s="37" t="s">
        <v>387</v>
      </c>
      <c r="U32" s="37" t="s">
        <v>133</v>
      </c>
      <c r="V32" s="37" t="s">
        <v>134</v>
      </c>
      <c r="W32" s="37" t="s">
        <v>485</v>
      </c>
      <c r="X32" s="37" t="n">
        <v>28</v>
      </c>
      <c r="Y32" s="37"/>
      <c r="Z32" s="37" t="n">
        <v>7.5</v>
      </c>
      <c r="AA32" s="37"/>
      <c r="AB32" s="37"/>
      <c r="AC32" s="37"/>
      <c r="AD32" s="37"/>
      <c r="AE32" s="37"/>
      <c r="AF32" s="37" t="s">
        <v>389</v>
      </c>
      <c r="AG32" s="62" t="s">
        <v>446</v>
      </c>
      <c r="AH32" s="63" t="s">
        <v>461</v>
      </c>
      <c r="AI32" s="62"/>
      <c r="AJ32" s="37" t="s">
        <v>462</v>
      </c>
      <c r="AK32" s="37" t="n">
        <f aca="false">SUM(Table1[[#This Row],[reported_1302]:[reported_1286_iso]])</f>
        <v>100.1</v>
      </c>
      <c r="AL32" s="64" t="n">
        <v>12.1</v>
      </c>
      <c r="AM32" s="64" t="n">
        <v>10</v>
      </c>
      <c r="AN32" s="64" t="n">
        <v>26.6</v>
      </c>
      <c r="AO32" s="64" t="n">
        <v>9.5</v>
      </c>
      <c r="AP32" s="64" t="n">
        <v>35.7</v>
      </c>
      <c r="AQ32" s="64" t="n">
        <v>0.9</v>
      </c>
      <c r="AR32" s="64" t="n">
        <v>5.3</v>
      </c>
      <c r="AS32" s="64"/>
      <c r="AT32" s="64"/>
      <c r="AU32" s="64"/>
      <c r="AV32" s="64"/>
      <c r="AW32" s="64"/>
      <c r="AX32" s="64"/>
      <c r="AY32" s="64"/>
      <c r="AZ32" s="64"/>
      <c r="BA32" s="64" t="n">
        <f aca="false">AL32/SUM($AL32:$AQ32)</f>
        <v>0.127637130801688</v>
      </c>
      <c r="BB32" s="64" t="n">
        <f aca="false">AM32/SUM($AL32:$AQ32)</f>
        <v>0.105485232067511</v>
      </c>
      <c r="BC32" s="64" t="n">
        <f aca="false">AN32/SUM($AL32:$AQ32)</f>
        <v>0.280590717299578</v>
      </c>
      <c r="BD32" s="64" t="n">
        <f aca="false">AO32/SUM($AL32:$AQ32)</f>
        <v>0.100210970464135</v>
      </c>
      <c r="BE32" s="64" t="n">
        <f aca="false">AP32/SUM($AL32:$AQ32)</f>
        <v>0.376582278481013</v>
      </c>
      <c r="BF32" s="64" t="n">
        <f aca="false">AQ32/SUM($AL32:$AQ32)</f>
        <v>0.00949367088607595</v>
      </c>
      <c r="BG32" s="65" t="e">
        <f aca="false">#N/A</f>
        <v>#N/A</v>
      </c>
      <c r="BH32" s="37" t="s">
        <v>393</v>
      </c>
      <c r="BI32" s="37" t="s">
        <v>463</v>
      </c>
      <c r="BJ32" s="37" t="s">
        <v>464</v>
      </c>
      <c r="BK32" s="40" t="s">
        <v>4</v>
      </c>
      <c r="BL32" s="37" t="s">
        <v>4</v>
      </c>
      <c r="BM32" s="37" t="s">
        <v>397</v>
      </c>
      <c r="BN32" s="37" t="s">
        <v>397</v>
      </c>
      <c r="BO32" s="37" t="s">
        <v>465</v>
      </c>
      <c r="BP32" s="37" t="s">
        <v>397</v>
      </c>
      <c r="BQ32" s="37" t="s">
        <v>399</v>
      </c>
      <c r="BR32" s="37" t="s">
        <v>400</v>
      </c>
      <c r="BS32" s="37" t="s">
        <v>405</v>
      </c>
      <c r="BT32" s="37" t="s">
        <v>114</v>
      </c>
      <c r="BU32" s="37" t="s">
        <v>466</v>
      </c>
      <c r="BV32" s="37" t="s">
        <v>115</v>
      </c>
      <c r="BW32" s="37" t="s">
        <v>402</v>
      </c>
    </row>
    <row r="33" customFormat="false" ht="14.9" hidden="false" customHeight="false" outlineLevel="0" collapsed="false">
      <c r="A33" s="37" t="s">
        <v>486</v>
      </c>
      <c r="B33" s="62" t="s">
        <v>96</v>
      </c>
      <c r="C33" s="37" t="s">
        <v>95</v>
      </c>
      <c r="D33" s="37" t="n">
        <f aca="false">INDEX(Strain_IDs!C:C,MATCH(Table1[[#This Row],[Strains]],Strain_IDs!D:D,0))</f>
        <v>5</v>
      </c>
      <c r="E33" s="37" t="s">
        <v>382</v>
      </c>
      <c r="F33" s="37" t="s">
        <v>20</v>
      </c>
      <c r="G33" s="37" t="s">
        <v>21</v>
      </c>
      <c r="H33" s="37" t="s">
        <v>27</v>
      </c>
      <c r="I33" s="37" t="s">
        <v>455</v>
      </c>
      <c r="J33" s="37" t="s">
        <v>487</v>
      </c>
      <c r="K33" s="37" t="s">
        <v>384</v>
      </c>
      <c r="L33" s="37" t="s">
        <v>20</v>
      </c>
      <c r="M33" s="37" t="s">
        <v>385</v>
      </c>
      <c r="N33" s="37" t="s">
        <v>27</v>
      </c>
      <c r="O33" s="40" t="s">
        <v>455</v>
      </c>
      <c r="P33" s="37" t="s">
        <v>487</v>
      </c>
      <c r="Q33" s="37" t="s">
        <v>456</v>
      </c>
      <c r="R33" s="37" t="s">
        <v>62</v>
      </c>
      <c r="S33" s="37" t="s">
        <v>63</v>
      </c>
      <c r="T33" s="37" t="s">
        <v>387</v>
      </c>
      <c r="U33" s="37" t="s">
        <v>488</v>
      </c>
      <c r="V33" s="37" t="s">
        <v>489</v>
      </c>
      <c r="W33" s="37" t="s">
        <v>490</v>
      </c>
      <c r="X33" s="37" t="n">
        <v>30</v>
      </c>
      <c r="Y33" s="37"/>
      <c r="Z33" s="37" t="n">
        <v>7.2</v>
      </c>
      <c r="AA33" s="37"/>
      <c r="AB33" s="37"/>
      <c r="AC33" s="37"/>
      <c r="AD33" s="37"/>
      <c r="AE33" s="37"/>
      <c r="AF33" s="37" t="s">
        <v>389</v>
      </c>
      <c r="AG33" s="62" t="s">
        <v>390</v>
      </c>
      <c r="AH33" s="63" t="s">
        <v>417</v>
      </c>
      <c r="AI33" s="62"/>
      <c r="AJ33" s="37" t="s">
        <v>491</v>
      </c>
      <c r="AK33" s="37" t="n">
        <f aca="false">SUM(Table1[[#This Row],[reported_1302]:[reported_1286_iso]])</f>
        <v>23.1052194879989</v>
      </c>
      <c r="AL33" s="64" t="n">
        <v>5.04902735447094</v>
      </c>
      <c r="AM33" s="64" t="n">
        <v>2.38304386318605</v>
      </c>
      <c r="AN33" s="64" t="n">
        <v>1.94102985859028</v>
      </c>
      <c r="AO33" s="64" t="n">
        <v>1.38854964080314</v>
      </c>
      <c r="AP33" s="64" t="n">
        <v>9.28033746611459</v>
      </c>
      <c r="AQ33" s="64" t="n">
        <v>0.454352984706014</v>
      </c>
      <c r="AR33" s="64" t="n">
        <v>2.60887832012784</v>
      </c>
      <c r="AS33" s="64"/>
      <c r="AT33" s="64"/>
      <c r="AU33" s="64"/>
      <c r="AV33" s="64"/>
      <c r="AW33" s="64"/>
      <c r="AX33" s="64"/>
      <c r="AY33" s="64"/>
      <c r="AZ33" s="64"/>
      <c r="BA33" s="64" t="n">
        <f aca="false">AL33/SUM($AL33:$AQ33)</f>
        <v>0.246337983599996</v>
      </c>
      <c r="BB33" s="64" t="n">
        <f aca="false">AM33/SUM($AL33:$AQ33)</f>
        <v>0.116266793359274</v>
      </c>
      <c r="BC33" s="64" t="n">
        <f aca="false">AN33/SUM($AL33:$AQ33)</f>
        <v>0.0947012855949596</v>
      </c>
      <c r="BD33" s="64" t="n">
        <f aca="false">AO33/SUM($AL33:$AQ33)</f>
        <v>0.0677462201390245</v>
      </c>
      <c r="BE33" s="64" t="n">
        <f aca="false">AP33/SUM($AL33:$AQ33)</f>
        <v>0.452780200627318</v>
      </c>
      <c r="BF33" s="64" t="n">
        <f aca="false">AQ33/SUM($AL33:$AQ33)</f>
        <v>0.0221675166794273</v>
      </c>
      <c r="BG33" s="65" t="e">
        <f aca="false">#N/A</f>
        <v>#N/A</v>
      </c>
      <c r="BH33" s="37" t="s">
        <v>393</v>
      </c>
      <c r="BI33" s="37" t="s">
        <v>463</v>
      </c>
      <c r="BJ33" s="37" t="s">
        <v>492</v>
      </c>
      <c r="BK33" s="40" t="s">
        <v>4</v>
      </c>
      <c r="BL33" s="37" t="s">
        <v>493</v>
      </c>
      <c r="BM33" s="37" t="s">
        <v>397</v>
      </c>
      <c r="BN33" s="37" t="s">
        <v>397</v>
      </c>
      <c r="BO33" s="37" t="s">
        <v>465</v>
      </c>
      <c r="BP33" s="37" t="s">
        <v>397</v>
      </c>
      <c r="BQ33" s="37" t="s">
        <v>397</v>
      </c>
      <c r="BR33" s="37" t="s">
        <v>405</v>
      </c>
      <c r="BS33" s="37" t="s">
        <v>405</v>
      </c>
      <c r="BT33" s="37" t="s">
        <v>103</v>
      </c>
      <c r="BU33" s="37" t="s">
        <v>466</v>
      </c>
      <c r="BV33" s="37" t="s">
        <v>104</v>
      </c>
      <c r="BW33" s="37" t="s">
        <v>402</v>
      </c>
    </row>
    <row r="34" customFormat="false" ht="14.9" hidden="false" customHeight="false" outlineLevel="0" collapsed="false">
      <c r="A34" s="37" t="s">
        <v>494</v>
      </c>
      <c r="B34" s="62" t="s">
        <v>130</v>
      </c>
      <c r="C34" s="37" t="s">
        <v>129</v>
      </c>
      <c r="D34" s="37" t="n">
        <f aca="false">INDEX(Strain_IDs!C:C,MATCH(Table1[[#This Row],[Strains]],Strain_IDs!D:D,0))</f>
        <v>7</v>
      </c>
      <c r="E34" s="37" t="s">
        <v>382</v>
      </c>
      <c r="F34" s="37" t="s">
        <v>20</v>
      </c>
      <c r="G34" s="37" t="s">
        <v>21</v>
      </c>
      <c r="H34" s="37" t="s">
        <v>27</v>
      </c>
      <c r="I34" s="37" t="s">
        <v>455</v>
      </c>
      <c r="J34" s="37" t="s">
        <v>480</v>
      </c>
      <c r="K34" s="37" t="s">
        <v>384</v>
      </c>
      <c r="L34" s="37" t="s">
        <v>20</v>
      </c>
      <c r="M34" s="37" t="s">
        <v>385</v>
      </c>
      <c r="N34" s="37" t="s">
        <v>27</v>
      </c>
      <c r="O34" s="40" t="s">
        <v>455</v>
      </c>
      <c r="P34" s="40" t="s">
        <v>480</v>
      </c>
      <c r="Q34" s="37" t="s">
        <v>456</v>
      </c>
      <c r="R34" s="37" t="s">
        <v>62</v>
      </c>
      <c r="S34" s="37" t="s">
        <v>63</v>
      </c>
      <c r="T34" s="37" t="s">
        <v>387</v>
      </c>
      <c r="U34" s="37" t="s">
        <v>133</v>
      </c>
      <c r="V34" s="37" t="s">
        <v>134</v>
      </c>
      <c r="W34" s="37" t="s">
        <v>495</v>
      </c>
      <c r="X34" s="37" t="n">
        <v>28</v>
      </c>
      <c r="Y34" s="37"/>
      <c r="Z34" s="37" t="n">
        <v>7.5</v>
      </c>
      <c r="AA34" s="37"/>
      <c r="AB34" s="37"/>
      <c r="AC34" s="37"/>
      <c r="AD34" s="37"/>
      <c r="AE34" s="37"/>
      <c r="AF34" s="37" t="s">
        <v>389</v>
      </c>
      <c r="AG34" s="62" t="s">
        <v>390</v>
      </c>
      <c r="AH34" s="63" t="s">
        <v>417</v>
      </c>
      <c r="AI34" s="62"/>
      <c r="AJ34" s="37" t="s">
        <v>491</v>
      </c>
      <c r="AK34" s="37" t="n">
        <f aca="false">SUM(Table1[[#This Row],[reported_1302]:[reported_1286_iso]])</f>
        <v>49.7421817243495</v>
      </c>
      <c r="AL34" s="64" t="n">
        <v>6.37094346037539</v>
      </c>
      <c r="AM34" s="64" t="n">
        <v>6.93591665096578</v>
      </c>
      <c r="AN34" s="64" t="n">
        <v>11.4669961761064</v>
      </c>
      <c r="AO34" s="64" t="n">
        <v>6.22977037438213</v>
      </c>
      <c r="AP34" s="64" t="n">
        <v>12.8456888541221</v>
      </c>
      <c r="AQ34" s="64" t="n">
        <v>0.411697930453323</v>
      </c>
      <c r="AR34" s="64" t="n">
        <v>5.48116827794433</v>
      </c>
      <c r="AS34" s="64"/>
      <c r="AT34" s="64"/>
      <c r="AU34" s="64"/>
      <c r="AV34" s="64"/>
      <c r="AW34" s="64"/>
      <c r="AX34" s="64"/>
      <c r="AY34" s="64"/>
      <c r="AZ34" s="64"/>
      <c r="BA34" s="64" t="n">
        <f aca="false">AL34/SUM($AL34:$AQ34)</f>
        <v>0.143940297889696</v>
      </c>
      <c r="BB34" s="64" t="n">
        <f aca="false">AM34/SUM($AL34:$AQ34)</f>
        <v>0.156704876614819</v>
      </c>
      <c r="BC34" s="64" t="n">
        <f aca="false">AN34/SUM($AL34:$AQ34)</f>
        <v>0.259076674554494</v>
      </c>
      <c r="BD34" s="64" t="n">
        <f aca="false">AO34/SUM($AL34:$AQ34)</f>
        <v>0.140750739517649</v>
      </c>
      <c r="BE34" s="64" t="n">
        <f aca="false">AP34/SUM($AL34:$AQ34)</f>
        <v>0.290225818477399</v>
      </c>
      <c r="BF34" s="64" t="n">
        <f aca="false">AQ34/SUM($AL34:$AQ34)</f>
        <v>0.00930159294594193</v>
      </c>
      <c r="BG34" s="65" t="e">
        <f aca="false">#N/A</f>
        <v>#N/A</v>
      </c>
      <c r="BH34" s="37" t="s">
        <v>393</v>
      </c>
      <c r="BI34" s="37" t="s">
        <v>463</v>
      </c>
      <c r="BJ34" s="37" t="s">
        <v>492</v>
      </c>
      <c r="BK34" s="40" t="s">
        <v>4</v>
      </c>
      <c r="BL34" s="37" t="s">
        <v>493</v>
      </c>
      <c r="BM34" s="37" t="s">
        <v>397</v>
      </c>
      <c r="BN34" s="37" t="s">
        <v>397</v>
      </c>
      <c r="BO34" s="37" t="s">
        <v>465</v>
      </c>
      <c r="BP34" s="37" t="s">
        <v>397</v>
      </c>
      <c r="BQ34" s="37" t="s">
        <v>399</v>
      </c>
      <c r="BR34" s="37" t="s">
        <v>400</v>
      </c>
      <c r="BS34" s="37" t="s">
        <v>405</v>
      </c>
      <c r="BT34" s="37" t="s">
        <v>103</v>
      </c>
      <c r="BU34" s="37" t="s">
        <v>466</v>
      </c>
      <c r="BV34" s="37" t="s">
        <v>104</v>
      </c>
      <c r="BW34" s="37" t="s">
        <v>402</v>
      </c>
    </row>
    <row r="35" customFormat="false" ht="14.9" hidden="false" customHeight="false" outlineLevel="0" collapsed="false">
      <c r="A35" s="37" t="s">
        <v>496</v>
      </c>
      <c r="B35" s="62" t="s">
        <v>144</v>
      </c>
      <c r="C35" s="37" t="s">
        <v>143</v>
      </c>
      <c r="D35" s="37" t="n">
        <f aca="false">INDEX(Strain_IDs!C:C,MATCH(Table1[[#This Row],[Strains]],Strain_IDs!D:D,0))</f>
        <v>8</v>
      </c>
      <c r="E35" s="37" t="s">
        <v>382</v>
      </c>
      <c r="F35" s="37" t="s">
        <v>20</v>
      </c>
      <c r="G35" s="37" t="s">
        <v>21</v>
      </c>
      <c r="H35" s="37" t="s">
        <v>27</v>
      </c>
      <c r="I35" s="37" t="s">
        <v>455</v>
      </c>
      <c r="J35" s="37" t="s">
        <v>497</v>
      </c>
      <c r="K35" s="37" t="s">
        <v>384</v>
      </c>
      <c r="L35" s="37" t="s">
        <v>20</v>
      </c>
      <c r="M35" s="37" t="s">
        <v>385</v>
      </c>
      <c r="N35" s="37" t="s">
        <v>27</v>
      </c>
      <c r="O35" s="40" t="s">
        <v>455</v>
      </c>
      <c r="P35" s="37" t="s">
        <v>497</v>
      </c>
      <c r="Q35" s="37" t="s">
        <v>456</v>
      </c>
      <c r="R35" s="37" t="s">
        <v>62</v>
      </c>
      <c r="S35" s="37" t="s">
        <v>63</v>
      </c>
      <c r="T35" s="37" t="s">
        <v>387</v>
      </c>
      <c r="U35" s="37" t="s">
        <v>488</v>
      </c>
      <c r="V35" s="37" t="s">
        <v>489</v>
      </c>
      <c r="W35" s="37" t="s">
        <v>498</v>
      </c>
      <c r="X35" s="37" t="n">
        <v>30</v>
      </c>
      <c r="Y35" s="37"/>
      <c r="Z35" s="37" t="n">
        <v>7.2</v>
      </c>
      <c r="AA35" s="37"/>
      <c r="AB35" s="37"/>
      <c r="AC35" s="37"/>
      <c r="AD35" s="37"/>
      <c r="AE35" s="37"/>
      <c r="AF35" s="37" t="s">
        <v>389</v>
      </c>
      <c r="AG35" s="62" t="s">
        <v>390</v>
      </c>
      <c r="AH35" s="63" t="s">
        <v>417</v>
      </c>
      <c r="AI35" s="62"/>
      <c r="AJ35" s="37" t="s">
        <v>491</v>
      </c>
      <c r="AK35" s="37" t="n">
        <f aca="false">SUM(Table1[[#This Row],[reported_1302]:[reported_1286_iso]])</f>
        <v>25.5883014123638</v>
      </c>
      <c r="AL35" s="64" t="n">
        <v>4.62457465178225</v>
      </c>
      <c r="AM35" s="64" t="n">
        <v>4.19152266019089</v>
      </c>
      <c r="AN35" s="64" t="n">
        <v>3.73867356119331</v>
      </c>
      <c r="AO35" s="64" t="n">
        <v>1.01574465748398</v>
      </c>
      <c r="AP35" s="64" t="n">
        <v>10.0772007105904</v>
      </c>
      <c r="AQ35" s="64" t="n">
        <v>0.223304363839989</v>
      </c>
      <c r="AR35" s="64" t="n">
        <v>1.71728080728293</v>
      </c>
      <c r="AS35" s="64"/>
      <c r="AT35" s="64"/>
      <c r="AU35" s="64"/>
      <c r="AV35" s="64"/>
      <c r="AW35" s="64"/>
      <c r="AX35" s="64"/>
      <c r="AY35" s="64"/>
      <c r="AZ35" s="64"/>
      <c r="BA35" s="64" t="n">
        <f aca="false">AL35/SUM($AL35:$AQ35)</f>
        <v>0.193731752332279</v>
      </c>
      <c r="BB35" s="64" t="n">
        <f aca="false">AM35/SUM($AL35:$AQ35)</f>
        <v>0.175590425291608</v>
      </c>
      <c r="BC35" s="64" t="n">
        <f aca="false">AN35/SUM($AL35:$AQ35)</f>
        <v>0.156619761804301</v>
      </c>
      <c r="BD35" s="64" t="n">
        <f aca="false">AO35/SUM($AL35:$AQ35)</f>
        <v>0.0425513711494926</v>
      </c>
      <c r="BE35" s="64" t="n">
        <f aca="false">AP35/SUM($AL35:$AQ35)</f>
        <v>0.422152067869504</v>
      </c>
      <c r="BF35" s="64" t="n">
        <f aca="false">AQ35/SUM($AL35:$AQ35)</f>
        <v>0.00935462155281538</v>
      </c>
      <c r="BG35" s="65" t="e">
        <f aca="false">#N/A</f>
        <v>#N/A</v>
      </c>
      <c r="BH35" s="37" t="s">
        <v>393</v>
      </c>
      <c r="BI35" s="37" t="s">
        <v>463</v>
      </c>
      <c r="BJ35" s="37" t="s">
        <v>492</v>
      </c>
      <c r="BK35" s="40" t="s">
        <v>4</v>
      </c>
      <c r="BL35" s="37" t="s">
        <v>493</v>
      </c>
      <c r="BM35" s="37" t="s">
        <v>397</v>
      </c>
      <c r="BN35" s="37" t="s">
        <v>397</v>
      </c>
      <c r="BO35" s="37" t="s">
        <v>465</v>
      </c>
      <c r="BP35" s="37" t="s">
        <v>397</v>
      </c>
      <c r="BQ35" s="37" t="s">
        <v>397</v>
      </c>
      <c r="BR35" s="37" t="s">
        <v>405</v>
      </c>
      <c r="BS35" s="37" t="s">
        <v>405</v>
      </c>
      <c r="BT35" s="37" t="s">
        <v>103</v>
      </c>
      <c r="BU35" s="37" t="s">
        <v>466</v>
      </c>
      <c r="BV35" s="37" t="s">
        <v>104</v>
      </c>
      <c r="BW35" s="37" t="s">
        <v>402</v>
      </c>
    </row>
    <row r="36" customFormat="false" ht="14.9" hidden="false" customHeight="false" outlineLevel="0" collapsed="false">
      <c r="A36" s="37" t="s">
        <v>499</v>
      </c>
      <c r="B36" s="62" t="s">
        <v>111</v>
      </c>
      <c r="C36" s="37" t="s">
        <v>110</v>
      </c>
      <c r="D36" s="37" t="n">
        <f aca="false">INDEX(Strain_IDs!C:C,MATCH(Table1[[#This Row],[Strains]],Strain_IDs!D:D,0))</f>
        <v>5.2</v>
      </c>
      <c r="E36" s="37" t="s">
        <v>382</v>
      </c>
      <c r="F36" s="37" t="s">
        <v>20</v>
      </c>
      <c r="G36" s="37" t="s">
        <v>21</v>
      </c>
      <c r="H36" s="37" t="s">
        <v>27</v>
      </c>
      <c r="I36" s="37" t="s">
        <v>455</v>
      </c>
      <c r="J36" s="37"/>
      <c r="K36" s="37" t="s">
        <v>384</v>
      </c>
      <c r="L36" s="37" t="s">
        <v>20</v>
      </c>
      <c r="M36" s="37" t="s">
        <v>385</v>
      </c>
      <c r="N36" s="37" t="s">
        <v>27</v>
      </c>
      <c r="O36" s="40" t="s">
        <v>455</v>
      </c>
      <c r="P36" s="40"/>
      <c r="Q36" s="37" t="s">
        <v>456</v>
      </c>
      <c r="R36" s="37" t="s">
        <v>62</v>
      </c>
      <c r="S36" s="37" t="s">
        <v>63</v>
      </c>
      <c r="T36" s="37" t="s">
        <v>457</v>
      </c>
      <c r="U36" s="37" t="s">
        <v>458</v>
      </c>
      <c r="V36" s="37" t="s">
        <v>459</v>
      </c>
      <c r="W36" s="37" t="s">
        <v>500</v>
      </c>
      <c r="X36" s="37" t="n">
        <v>28</v>
      </c>
      <c r="Y36" s="37"/>
      <c r="Z36" s="37" t="n">
        <v>7.5</v>
      </c>
      <c r="AA36" s="37"/>
      <c r="AB36" s="37"/>
      <c r="AC36" s="37"/>
      <c r="AD36" s="37"/>
      <c r="AE36" s="37"/>
      <c r="AF36" s="37" t="s">
        <v>389</v>
      </c>
      <c r="AG36" s="62" t="s">
        <v>390</v>
      </c>
      <c r="AH36" s="63" t="s">
        <v>417</v>
      </c>
      <c r="AI36" s="62"/>
      <c r="AJ36" s="37" t="s">
        <v>491</v>
      </c>
      <c r="AK36" s="37" t="n">
        <f aca="false">SUM(Table1[[#This Row],[reported_1302]:[reported_1286_iso]])</f>
        <v>9.48291564436689</v>
      </c>
      <c r="AL36" s="64" t="n">
        <v>0.098309617852306</v>
      </c>
      <c r="AM36" s="64" t="n">
        <v>0.0303562864445795</v>
      </c>
      <c r="AN36" s="64" t="n">
        <v>2.97255022246746</v>
      </c>
      <c r="AO36" s="64" t="n">
        <v>2.4007666386282</v>
      </c>
      <c r="AP36" s="64" t="n">
        <v>1.34691574227145</v>
      </c>
      <c r="AQ36" s="64" t="n">
        <v>0.325365558261136</v>
      </c>
      <c r="AR36" s="64" t="n">
        <v>2.30865157844176</v>
      </c>
      <c r="AS36" s="64"/>
      <c r="AT36" s="64"/>
      <c r="AU36" s="64"/>
      <c r="AV36" s="64"/>
      <c r="AW36" s="64"/>
      <c r="AX36" s="64"/>
      <c r="AY36" s="64"/>
      <c r="AZ36" s="64"/>
      <c r="BA36" s="64" t="n">
        <f aca="false">AL36/SUM($AL36:$AQ36)</f>
        <v>0.0137030944148316</v>
      </c>
      <c r="BB36" s="64" t="n">
        <f aca="false">AM36/SUM($AL36:$AQ36)</f>
        <v>0.00423127531487998</v>
      </c>
      <c r="BC36" s="64" t="n">
        <f aca="false">AN36/SUM($AL36:$AQ36)</f>
        <v>0.414335211967716</v>
      </c>
      <c r="BD36" s="64" t="n">
        <f aca="false">AO36/SUM($AL36:$AQ36)</f>
        <v>0.334635945452702</v>
      </c>
      <c r="BE36" s="64" t="n">
        <f aca="false">AP36/SUM($AL36:$AQ36)</f>
        <v>0.187742705020959</v>
      </c>
      <c r="BF36" s="64" t="n">
        <f aca="false">AQ36/SUM($AL36:$AQ36)</f>
        <v>0.0453517678289111</v>
      </c>
      <c r="BG36" s="65" t="e">
        <f aca="false">#N/A</f>
        <v>#N/A</v>
      </c>
      <c r="BH36" s="37" t="s">
        <v>393</v>
      </c>
      <c r="BI36" s="37" t="s">
        <v>463</v>
      </c>
      <c r="BJ36" s="37" t="s">
        <v>492</v>
      </c>
      <c r="BK36" s="40" t="s">
        <v>4</v>
      </c>
      <c r="BL36" s="37" t="s">
        <v>493</v>
      </c>
      <c r="BM36" s="37" t="s">
        <v>397</v>
      </c>
      <c r="BN36" s="37" t="s">
        <v>397</v>
      </c>
      <c r="BO36" s="37" t="s">
        <v>465</v>
      </c>
      <c r="BP36" s="37" t="s">
        <v>397</v>
      </c>
      <c r="BQ36" s="37" t="s">
        <v>399</v>
      </c>
      <c r="BR36" s="37" t="s">
        <v>400</v>
      </c>
      <c r="BS36" s="37" t="s">
        <v>405</v>
      </c>
      <c r="BT36" s="37" t="s">
        <v>103</v>
      </c>
      <c r="BU36" s="37" t="s">
        <v>466</v>
      </c>
      <c r="BV36" s="37" t="s">
        <v>104</v>
      </c>
      <c r="BW36" s="37" t="s">
        <v>402</v>
      </c>
    </row>
    <row r="37" customFormat="false" ht="14.9" hidden="false" customHeight="false" outlineLevel="0" collapsed="false">
      <c r="A37" s="37" t="s">
        <v>501</v>
      </c>
      <c r="B37" s="62" t="s">
        <v>139</v>
      </c>
      <c r="C37" s="37" t="s">
        <v>138</v>
      </c>
      <c r="D37" s="37" t="n">
        <f aca="false">INDEX(Strain_IDs!C:C,MATCH(Table1[[#This Row],[Strains]],Strain_IDs!D:D,0))</f>
        <v>7.1</v>
      </c>
      <c r="E37" s="37" t="s">
        <v>382</v>
      </c>
      <c r="F37" s="37" t="s">
        <v>20</v>
      </c>
      <c r="G37" s="37" t="s">
        <v>21</v>
      </c>
      <c r="H37" s="37" t="s">
        <v>27</v>
      </c>
      <c r="I37" s="37" t="s">
        <v>455</v>
      </c>
      <c r="J37" s="37"/>
      <c r="K37" s="37" t="s">
        <v>384</v>
      </c>
      <c r="L37" s="37" t="s">
        <v>20</v>
      </c>
      <c r="M37" s="37" t="s">
        <v>385</v>
      </c>
      <c r="N37" s="37" t="s">
        <v>27</v>
      </c>
      <c r="O37" s="40" t="s">
        <v>455</v>
      </c>
      <c r="P37" s="40"/>
      <c r="Q37" s="37" t="s">
        <v>456</v>
      </c>
      <c r="R37" s="37" t="s">
        <v>62</v>
      </c>
      <c r="S37" s="37" t="s">
        <v>63</v>
      </c>
      <c r="T37" s="37" t="s">
        <v>457</v>
      </c>
      <c r="U37" s="37" t="s">
        <v>458</v>
      </c>
      <c r="V37" s="37" t="s">
        <v>459</v>
      </c>
      <c r="W37" s="37" t="s">
        <v>502</v>
      </c>
      <c r="X37" s="37" t="n">
        <v>28</v>
      </c>
      <c r="Y37" s="37"/>
      <c r="Z37" s="37" t="n">
        <v>7.5</v>
      </c>
      <c r="AA37" s="37"/>
      <c r="AB37" s="37"/>
      <c r="AC37" s="37"/>
      <c r="AD37" s="37"/>
      <c r="AE37" s="37"/>
      <c r="AF37" s="37" t="s">
        <v>389</v>
      </c>
      <c r="AG37" s="62" t="s">
        <v>390</v>
      </c>
      <c r="AH37" s="63" t="s">
        <v>417</v>
      </c>
      <c r="AI37" s="62"/>
      <c r="AJ37" s="37" t="s">
        <v>491</v>
      </c>
      <c r="AK37" s="37" t="n">
        <f aca="false">SUM(Table1[[#This Row],[reported_1302]:[reported_1286_iso]])</f>
        <v>31.733101723765</v>
      </c>
      <c r="AL37" s="64" t="n">
        <v>4.94509613124634</v>
      </c>
      <c r="AM37" s="64" t="n">
        <v>5.50368426360502</v>
      </c>
      <c r="AN37" s="64" t="n">
        <v>7.38605458221894</v>
      </c>
      <c r="AO37" s="64" t="n">
        <v>3.2070200763168</v>
      </c>
      <c r="AP37" s="64" t="n">
        <v>8.20805536108538</v>
      </c>
      <c r="AQ37" s="64" t="n">
        <v>0.184160276743516</v>
      </c>
      <c r="AR37" s="64" t="n">
        <v>2.299031032549</v>
      </c>
      <c r="AS37" s="64"/>
      <c r="AT37" s="64"/>
      <c r="AU37" s="64"/>
      <c r="AV37" s="64"/>
      <c r="AW37" s="64"/>
      <c r="AX37" s="64"/>
      <c r="AY37" s="64"/>
      <c r="AZ37" s="64"/>
      <c r="BA37" s="64" t="n">
        <f aca="false">AL37/SUM($AL37:$AQ37)</f>
        <v>0.168005852235794</v>
      </c>
      <c r="BB37" s="64" t="n">
        <f aca="false">AM37/SUM($AL37:$AQ37)</f>
        <v>0.186983456054805</v>
      </c>
      <c r="BC37" s="64" t="n">
        <f aca="false">AN37/SUM($AL37:$AQ37)</f>
        <v>0.250935545399202</v>
      </c>
      <c r="BD37" s="64" t="n">
        <f aca="false">AO37/SUM($AL37:$AQ37)</f>
        <v>0.108956049945</v>
      </c>
      <c r="BE37" s="64" t="n">
        <f aca="false">AP37/SUM($AL37:$AQ37)</f>
        <v>0.27886239206237</v>
      </c>
      <c r="BF37" s="64" t="n">
        <f aca="false">AQ37/SUM($AL37:$AQ37)</f>
        <v>0.00625670430282941</v>
      </c>
      <c r="BG37" s="65" t="e">
        <f aca="false">#N/A</f>
        <v>#N/A</v>
      </c>
      <c r="BH37" s="37" t="s">
        <v>393</v>
      </c>
      <c r="BI37" s="37" t="s">
        <v>463</v>
      </c>
      <c r="BJ37" s="37" t="s">
        <v>492</v>
      </c>
      <c r="BK37" s="40" t="s">
        <v>4</v>
      </c>
      <c r="BL37" s="37" t="s">
        <v>493</v>
      </c>
      <c r="BM37" s="37" t="s">
        <v>397</v>
      </c>
      <c r="BN37" s="37" t="s">
        <v>397</v>
      </c>
      <c r="BO37" s="37" t="s">
        <v>465</v>
      </c>
      <c r="BP37" s="37" t="s">
        <v>397</v>
      </c>
      <c r="BQ37" s="37" t="s">
        <v>399</v>
      </c>
      <c r="BR37" s="37" t="s">
        <v>400</v>
      </c>
      <c r="BS37" s="37" t="s">
        <v>405</v>
      </c>
      <c r="BT37" s="37" t="s">
        <v>103</v>
      </c>
      <c r="BU37" s="37" t="s">
        <v>466</v>
      </c>
      <c r="BV37" s="37" t="s">
        <v>104</v>
      </c>
      <c r="BW37" s="37" t="s">
        <v>402</v>
      </c>
    </row>
    <row r="38" customFormat="false" ht="14.9" hidden="false" customHeight="false" outlineLevel="0" collapsed="false">
      <c r="A38" s="37" t="s">
        <v>503</v>
      </c>
      <c r="B38" s="62" t="s">
        <v>96</v>
      </c>
      <c r="C38" s="37" t="s">
        <v>95</v>
      </c>
      <c r="D38" s="37" t="n">
        <f aca="false">INDEX(Strain_IDs!C:C,MATCH(Table1[[#This Row],[Strains]],Strain_IDs!D:D,0))</f>
        <v>5</v>
      </c>
      <c r="E38" s="37" t="s">
        <v>382</v>
      </c>
      <c r="F38" s="37" t="s">
        <v>20</v>
      </c>
      <c r="G38" s="37" t="s">
        <v>21</v>
      </c>
      <c r="H38" s="37" t="s">
        <v>27</v>
      </c>
      <c r="I38" s="37" t="s">
        <v>455</v>
      </c>
      <c r="J38" s="37" t="s">
        <v>487</v>
      </c>
      <c r="K38" s="37" t="s">
        <v>384</v>
      </c>
      <c r="L38" s="37" t="s">
        <v>20</v>
      </c>
      <c r="M38" s="37" t="s">
        <v>385</v>
      </c>
      <c r="N38" s="37" t="s">
        <v>27</v>
      </c>
      <c r="O38" s="40" t="s">
        <v>455</v>
      </c>
      <c r="P38" s="37" t="s">
        <v>487</v>
      </c>
      <c r="Q38" s="37" t="s">
        <v>456</v>
      </c>
      <c r="R38" s="37" t="s">
        <v>62</v>
      </c>
      <c r="S38" s="37" t="s">
        <v>63</v>
      </c>
      <c r="T38" s="37" t="s">
        <v>387</v>
      </c>
      <c r="U38" s="37" t="s">
        <v>488</v>
      </c>
      <c r="V38" s="37" t="s">
        <v>489</v>
      </c>
      <c r="W38" s="37" t="s">
        <v>504</v>
      </c>
      <c r="X38" s="37" t="n">
        <v>30</v>
      </c>
      <c r="Y38" s="37"/>
      <c r="Z38" s="37" t="n">
        <v>7.2</v>
      </c>
      <c r="AA38" s="37"/>
      <c r="AB38" s="37"/>
      <c r="AC38" s="37"/>
      <c r="AD38" s="37"/>
      <c r="AE38" s="37"/>
      <c r="AF38" s="37" t="s">
        <v>389</v>
      </c>
      <c r="AG38" s="62" t="s">
        <v>390</v>
      </c>
      <c r="AH38" s="63" t="s">
        <v>391</v>
      </c>
      <c r="AI38" s="62"/>
      <c r="AJ38" s="37" t="s">
        <v>491</v>
      </c>
      <c r="AK38" s="37" t="n">
        <f aca="false">SUM(Table1[[#This Row],[reported_1302]:[reported_1286_iso]])</f>
        <v>46.0645383153906</v>
      </c>
      <c r="AL38" s="64" t="n">
        <v>0.210851371788283</v>
      </c>
      <c r="AM38" s="64" t="n">
        <v>3.03555143227253</v>
      </c>
      <c r="AN38" s="64" t="n">
        <v>16.8756513512623</v>
      </c>
      <c r="AO38" s="64" t="n">
        <v>9.53491237332075</v>
      </c>
      <c r="AP38" s="64" t="n">
        <v>1.09929708300875</v>
      </c>
      <c r="AQ38" s="64" t="n">
        <v>0.961989060332397</v>
      </c>
      <c r="AR38" s="64" t="n">
        <v>14.3462856434056</v>
      </c>
      <c r="AS38" s="64"/>
      <c r="AT38" s="64"/>
      <c r="AU38" s="64"/>
      <c r="AV38" s="64"/>
      <c r="AW38" s="64"/>
      <c r="AX38" s="64"/>
      <c r="AY38" s="64"/>
      <c r="AZ38" s="64"/>
      <c r="BA38" s="64" t="n">
        <f aca="false">AL38/SUM($AL38:$AQ38)</f>
        <v>0.00664763516353839</v>
      </c>
      <c r="BB38" s="64" t="n">
        <f aca="false">AM38/SUM($AL38:$AQ38)</f>
        <v>0.0957036146872512</v>
      </c>
      <c r="BC38" s="64" t="n">
        <f aca="false">AN38/SUM($AL38:$AQ38)</f>
        <v>0.532048581798695</v>
      </c>
      <c r="BD38" s="64" t="n">
        <f aca="false">AO38/SUM($AL38:$AQ38)</f>
        <v>0.300612788224063</v>
      </c>
      <c r="BE38" s="64" t="n">
        <f aca="false">AP38/SUM($AL38:$AQ38)</f>
        <v>0.034658185442217</v>
      </c>
      <c r="BF38" s="64" t="n">
        <f aca="false">AQ38/SUM($AL38:$AQ38)</f>
        <v>0.0303291946842352</v>
      </c>
      <c r="BG38" s="65" t="e">
        <f aca="false">#N/A</f>
        <v>#N/A</v>
      </c>
      <c r="BH38" s="37" t="s">
        <v>393</v>
      </c>
      <c r="BI38" s="37" t="s">
        <v>463</v>
      </c>
      <c r="BJ38" s="37" t="s">
        <v>492</v>
      </c>
      <c r="BK38" s="40" t="s">
        <v>4</v>
      </c>
      <c r="BL38" s="37" t="s">
        <v>493</v>
      </c>
      <c r="BM38" s="37" t="s">
        <v>397</v>
      </c>
      <c r="BN38" s="37" t="s">
        <v>397</v>
      </c>
      <c r="BO38" s="37" t="s">
        <v>465</v>
      </c>
      <c r="BP38" s="37" t="s">
        <v>397</v>
      </c>
      <c r="BQ38" s="37" t="s">
        <v>399</v>
      </c>
      <c r="BR38" s="37" t="s">
        <v>400</v>
      </c>
      <c r="BS38" s="37" t="s">
        <v>405</v>
      </c>
      <c r="BT38" s="37" t="s">
        <v>103</v>
      </c>
      <c r="BU38" s="37" t="s">
        <v>466</v>
      </c>
      <c r="BV38" s="37" t="s">
        <v>104</v>
      </c>
      <c r="BW38" s="37" t="s">
        <v>402</v>
      </c>
    </row>
    <row r="39" customFormat="false" ht="14.9" hidden="false" customHeight="false" outlineLevel="0" collapsed="false">
      <c r="A39" s="37" t="s">
        <v>505</v>
      </c>
      <c r="B39" s="62" t="s">
        <v>130</v>
      </c>
      <c r="C39" s="37" t="s">
        <v>129</v>
      </c>
      <c r="D39" s="37" t="n">
        <f aca="false">INDEX(Strain_IDs!C:C,MATCH(Table1[[#This Row],[Strains]],Strain_IDs!D:D,0))</f>
        <v>7</v>
      </c>
      <c r="E39" s="37" t="s">
        <v>382</v>
      </c>
      <c r="F39" s="37" t="s">
        <v>20</v>
      </c>
      <c r="G39" s="37" t="s">
        <v>21</v>
      </c>
      <c r="H39" s="37" t="s">
        <v>27</v>
      </c>
      <c r="I39" s="37" t="s">
        <v>455</v>
      </c>
      <c r="J39" s="37" t="s">
        <v>480</v>
      </c>
      <c r="K39" s="37" t="s">
        <v>384</v>
      </c>
      <c r="L39" s="37" t="s">
        <v>20</v>
      </c>
      <c r="M39" s="37" t="s">
        <v>385</v>
      </c>
      <c r="N39" s="37" t="s">
        <v>27</v>
      </c>
      <c r="O39" s="40" t="s">
        <v>455</v>
      </c>
      <c r="P39" s="40" t="s">
        <v>480</v>
      </c>
      <c r="Q39" s="37" t="s">
        <v>456</v>
      </c>
      <c r="R39" s="37" t="s">
        <v>62</v>
      </c>
      <c r="S39" s="37" t="s">
        <v>63</v>
      </c>
      <c r="T39" s="37" t="s">
        <v>387</v>
      </c>
      <c r="U39" s="37" t="s">
        <v>133</v>
      </c>
      <c r="V39" s="37" t="s">
        <v>134</v>
      </c>
      <c r="W39" s="37" t="s">
        <v>506</v>
      </c>
      <c r="X39" s="37" t="n">
        <v>28</v>
      </c>
      <c r="Y39" s="37"/>
      <c r="Z39" s="37" t="n">
        <v>7.5</v>
      </c>
      <c r="AA39" s="37"/>
      <c r="AB39" s="37"/>
      <c r="AC39" s="37"/>
      <c r="AD39" s="37"/>
      <c r="AE39" s="37"/>
      <c r="AF39" s="37" t="s">
        <v>389</v>
      </c>
      <c r="AG39" s="62" t="s">
        <v>390</v>
      </c>
      <c r="AH39" s="63" t="s">
        <v>391</v>
      </c>
      <c r="AI39" s="62"/>
      <c r="AJ39" s="37" t="s">
        <v>491</v>
      </c>
      <c r="AK39" s="37" t="n">
        <f aca="false">SUM(Table1[[#This Row],[reported_1302]:[reported_1286_iso]])</f>
        <v>9.55948634887332</v>
      </c>
      <c r="AL39" s="64" t="n">
        <v>0</v>
      </c>
      <c r="AM39" s="64" t="n">
        <v>0</v>
      </c>
      <c r="AN39" s="64" t="n">
        <v>0</v>
      </c>
      <c r="AO39" s="64" t="n">
        <v>0</v>
      </c>
      <c r="AP39" s="64" t="n">
        <v>8.84562794567547</v>
      </c>
      <c r="AQ39" s="64" t="n">
        <v>0.713858403197846</v>
      </c>
      <c r="AR39" s="64" t="n">
        <v>0</v>
      </c>
      <c r="AS39" s="64"/>
      <c r="AT39" s="64"/>
      <c r="AU39" s="64"/>
      <c r="AV39" s="64"/>
      <c r="AW39" s="64"/>
      <c r="AX39" s="64"/>
      <c r="AY39" s="64"/>
      <c r="AZ39" s="64"/>
      <c r="BA39" s="64" t="n">
        <f aca="false">AL39/SUM($AL39:$AQ39)</f>
        <v>0</v>
      </c>
      <c r="BB39" s="64" t="n">
        <f aca="false">AM39/SUM($AL39:$AQ39)</f>
        <v>0</v>
      </c>
      <c r="BC39" s="64" t="n">
        <f aca="false">AN39/SUM($AL39:$AQ39)</f>
        <v>0</v>
      </c>
      <c r="BD39" s="64" t="n">
        <f aca="false">AO39/SUM($AL39:$AQ39)</f>
        <v>0</v>
      </c>
      <c r="BE39" s="64" t="n">
        <f aca="false">AP39/SUM($AL39:$AQ39)</f>
        <v>0.925324606663413</v>
      </c>
      <c r="BF39" s="64" t="n">
        <f aca="false">AQ39/SUM($AL39:$AQ39)</f>
        <v>0.0746753933365867</v>
      </c>
      <c r="BG39" s="65" t="e">
        <f aca="false">#N/A</f>
        <v>#N/A</v>
      </c>
      <c r="BH39" s="37" t="s">
        <v>393</v>
      </c>
      <c r="BI39" s="37" t="s">
        <v>463</v>
      </c>
      <c r="BJ39" s="37" t="s">
        <v>492</v>
      </c>
      <c r="BK39" s="40" t="s">
        <v>4</v>
      </c>
      <c r="BL39" s="37" t="s">
        <v>493</v>
      </c>
      <c r="BM39" s="37" t="s">
        <v>397</v>
      </c>
      <c r="BN39" s="37" t="s">
        <v>397</v>
      </c>
      <c r="BO39" s="37" t="s">
        <v>465</v>
      </c>
      <c r="BP39" s="37" t="s">
        <v>397</v>
      </c>
      <c r="BQ39" s="37" t="s">
        <v>397</v>
      </c>
      <c r="BR39" s="37" t="s">
        <v>405</v>
      </c>
      <c r="BS39" s="37" t="s">
        <v>400</v>
      </c>
      <c r="BT39" s="37" t="s">
        <v>103</v>
      </c>
      <c r="BU39" s="37" t="s">
        <v>466</v>
      </c>
      <c r="BV39" s="37" t="s">
        <v>104</v>
      </c>
      <c r="BW39" s="37" t="s">
        <v>402</v>
      </c>
    </row>
    <row r="40" customFormat="false" ht="14.9" hidden="false" customHeight="false" outlineLevel="0" collapsed="false">
      <c r="A40" s="37" t="s">
        <v>507</v>
      </c>
      <c r="B40" s="62" t="s">
        <v>144</v>
      </c>
      <c r="C40" s="37" t="s">
        <v>143</v>
      </c>
      <c r="D40" s="37" t="n">
        <f aca="false">INDEX(Strain_IDs!C:C,MATCH(Table1[[#This Row],[Strains]],Strain_IDs!D:D,0))</f>
        <v>8</v>
      </c>
      <c r="E40" s="37" t="s">
        <v>382</v>
      </c>
      <c r="F40" s="37" t="s">
        <v>20</v>
      </c>
      <c r="G40" s="37" t="s">
        <v>21</v>
      </c>
      <c r="H40" s="37" t="s">
        <v>27</v>
      </c>
      <c r="I40" s="37" t="s">
        <v>455</v>
      </c>
      <c r="J40" s="37" t="s">
        <v>497</v>
      </c>
      <c r="K40" s="37" t="s">
        <v>384</v>
      </c>
      <c r="L40" s="37" t="s">
        <v>20</v>
      </c>
      <c r="M40" s="37" t="s">
        <v>385</v>
      </c>
      <c r="N40" s="37" t="s">
        <v>27</v>
      </c>
      <c r="O40" s="40" t="s">
        <v>455</v>
      </c>
      <c r="P40" s="37" t="s">
        <v>497</v>
      </c>
      <c r="Q40" s="37" t="s">
        <v>456</v>
      </c>
      <c r="R40" s="37" t="s">
        <v>62</v>
      </c>
      <c r="S40" s="37" t="s">
        <v>63</v>
      </c>
      <c r="T40" s="37" t="s">
        <v>387</v>
      </c>
      <c r="U40" s="37" t="s">
        <v>488</v>
      </c>
      <c r="V40" s="37" t="s">
        <v>489</v>
      </c>
      <c r="W40" s="37" t="s">
        <v>508</v>
      </c>
      <c r="X40" s="37" t="n">
        <v>30</v>
      </c>
      <c r="Y40" s="37"/>
      <c r="Z40" s="37" t="n">
        <v>7.2</v>
      </c>
      <c r="AA40" s="37"/>
      <c r="AB40" s="37"/>
      <c r="AC40" s="37"/>
      <c r="AD40" s="37"/>
      <c r="AE40" s="37"/>
      <c r="AF40" s="37" t="s">
        <v>389</v>
      </c>
      <c r="AG40" s="62" t="s">
        <v>390</v>
      </c>
      <c r="AH40" s="63" t="s">
        <v>391</v>
      </c>
      <c r="AI40" s="62"/>
      <c r="AJ40" s="37" t="s">
        <v>491</v>
      </c>
      <c r="AK40" s="37" t="n">
        <f aca="false">SUM(Table1[[#This Row],[reported_1302]:[reported_1286_iso]])</f>
        <v>2.46294641072224</v>
      </c>
      <c r="AL40" s="64" t="n">
        <v>0</v>
      </c>
      <c r="AM40" s="64" t="n">
        <v>0</v>
      </c>
      <c r="AN40" s="64" t="n">
        <v>0</v>
      </c>
      <c r="AO40" s="64" t="n">
        <v>0</v>
      </c>
      <c r="AP40" s="64" t="n">
        <v>0.886093421006641</v>
      </c>
      <c r="AQ40" s="64" t="n">
        <v>0.612670355733102</v>
      </c>
      <c r="AR40" s="64" t="n">
        <v>0.964182633982494</v>
      </c>
      <c r="AS40" s="64"/>
      <c r="AT40" s="64"/>
      <c r="AU40" s="64"/>
      <c r="AV40" s="64"/>
      <c r="AW40" s="64"/>
      <c r="AX40" s="64"/>
      <c r="AY40" s="64"/>
      <c r="AZ40" s="64"/>
      <c r="BA40" s="64" t="n">
        <f aca="false">AL40/SUM($AL40:$AQ40)</f>
        <v>0</v>
      </c>
      <c r="BB40" s="64" t="n">
        <f aca="false">AM40/SUM($AL40:$AQ40)</f>
        <v>0</v>
      </c>
      <c r="BC40" s="64" t="n">
        <f aca="false">AN40/SUM($AL40:$AQ40)</f>
        <v>0</v>
      </c>
      <c r="BD40" s="64" t="n">
        <f aca="false">AO40/SUM($AL40:$AQ40)</f>
        <v>0</v>
      </c>
      <c r="BE40" s="64" t="n">
        <f aca="false">AP40/SUM($AL40:$AQ40)</f>
        <v>0.591216197481205</v>
      </c>
      <c r="BF40" s="64" t="n">
        <f aca="false">AQ40/SUM($AL40:$AQ40)</f>
        <v>0.408783802518795</v>
      </c>
      <c r="BG40" s="65" t="e">
        <f aca="false">#N/A</f>
        <v>#N/A</v>
      </c>
      <c r="BH40" s="37" t="s">
        <v>393</v>
      </c>
      <c r="BI40" s="37" t="s">
        <v>463</v>
      </c>
      <c r="BJ40" s="37" t="s">
        <v>492</v>
      </c>
      <c r="BK40" s="40" t="s">
        <v>4</v>
      </c>
      <c r="BL40" s="37" t="s">
        <v>493</v>
      </c>
      <c r="BM40" s="37" t="s">
        <v>397</v>
      </c>
      <c r="BN40" s="37" t="s">
        <v>397</v>
      </c>
      <c r="BO40" s="37" t="s">
        <v>465</v>
      </c>
      <c r="BP40" s="37" t="s">
        <v>397</v>
      </c>
      <c r="BQ40" s="37" t="s">
        <v>397</v>
      </c>
      <c r="BR40" s="37" t="s">
        <v>405</v>
      </c>
      <c r="BS40" s="37" t="s">
        <v>400</v>
      </c>
      <c r="BT40" s="37" t="s">
        <v>103</v>
      </c>
      <c r="BU40" s="37" t="s">
        <v>466</v>
      </c>
      <c r="BV40" s="37" t="s">
        <v>104</v>
      </c>
      <c r="BW40" s="37" t="s">
        <v>402</v>
      </c>
    </row>
    <row r="41" customFormat="false" ht="14.9" hidden="false" customHeight="false" outlineLevel="0" collapsed="false">
      <c r="A41" s="37" t="s">
        <v>509</v>
      </c>
      <c r="B41" s="62" t="s">
        <v>111</v>
      </c>
      <c r="C41" s="37" t="s">
        <v>110</v>
      </c>
      <c r="D41" s="37" t="n">
        <f aca="false">INDEX(Strain_IDs!C:C,MATCH(Table1[[#This Row],[Strains]],Strain_IDs!D:D,0))</f>
        <v>5.2</v>
      </c>
      <c r="E41" s="37" t="s">
        <v>382</v>
      </c>
      <c r="F41" s="37" t="s">
        <v>20</v>
      </c>
      <c r="G41" s="37" t="s">
        <v>21</v>
      </c>
      <c r="H41" s="37" t="s">
        <v>27</v>
      </c>
      <c r="I41" s="37" t="s">
        <v>455</v>
      </c>
      <c r="J41" s="37"/>
      <c r="K41" s="37" t="s">
        <v>384</v>
      </c>
      <c r="L41" s="37" t="s">
        <v>20</v>
      </c>
      <c r="M41" s="37" t="s">
        <v>385</v>
      </c>
      <c r="N41" s="37" t="s">
        <v>27</v>
      </c>
      <c r="O41" s="40" t="s">
        <v>455</v>
      </c>
      <c r="P41" s="40"/>
      <c r="Q41" s="37" t="s">
        <v>456</v>
      </c>
      <c r="R41" s="37" t="s">
        <v>62</v>
      </c>
      <c r="S41" s="37" t="s">
        <v>63</v>
      </c>
      <c r="T41" s="37" t="s">
        <v>457</v>
      </c>
      <c r="U41" s="37" t="s">
        <v>458</v>
      </c>
      <c r="V41" s="37" t="s">
        <v>459</v>
      </c>
      <c r="W41" s="37" t="s">
        <v>510</v>
      </c>
      <c r="X41" s="37" t="n">
        <v>28</v>
      </c>
      <c r="Y41" s="37"/>
      <c r="Z41" s="37" t="n">
        <v>7.5</v>
      </c>
      <c r="AA41" s="37"/>
      <c r="AB41" s="37"/>
      <c r="AC41" s="37"/>
      <c r="AD41" s="37"/>
      <c r="AE41" s="37"/>
      <c r="AF41" s="37" t="s">
        <v>389</v>
      </c>
      <c r="AG41" s="62" t="s">
        <v>390</v>
      </c>
      <c r="AH41" s="63" t="s">
        <v>391</v>
      </c>
      <c r="AI41" s="62"/>
      <c r="AJ41" s="37" t="s">
        <v>491</v>
      </c>
      <c r="AK41" s="37" t="n">
        <f aca="false">SUM(Table1[[#This Row],[reported_1302]:[reported_1286_iso]])</f>
        <v>13.1446664457211</v>
      </c>
      <c r="AL41" s="64" t="n">
        <v>0.0358314301205607</v>
      </c>
      <c r="AM41" s="64" t="n">
        <v>0.23898126836564</v>
      </c>
      <c r="AN41" s="64" t="n">
        <v>6.19344356608915</v>
      </c>
      <c r="AO41" s="64" t="n">
        <v>2.63231105867986</v>
      </c>
      <c r="AP41" s="64" t="n">
        <v>0.0502496257963335</v>
      </c>
      <c r="AQ41" s="64" t="n">
        <v>0.322246769939556</v>
      </c>
      <c r="AR41" s="64" t="n">
        <v>3.67160272673001</v>
      </c>
      <c r="AS41" s="64"/>
      <c r="AT41" s="64"/>
      <c r="AU41" s="64"/>
      <c r="AV41" s="64"/>
      <c r="AW41" s="64"/>
      <c r="AX41" s="64"/>
      <c r="AY41" s="64"/>
      <c r="AZ41" s="64"/>
      <c r="BA41" s="64" t="n">
        <f aca="false">AL41/SUM($AL41:$AQ41)</f>
        <v>0.00378245424959274</v>
      </c>
      <c r="BB41" s="64" t="n">
        <f aca="false">AM41/SUM($AL41:$AQ41)</f>
        <v>0.0252274528552513</v>
      </c>
      <c r="BC41" s="64" t="n">
        <f aca="false">AN41/SUM($AL41:$AQ41)</f>
        <v>0.653795197605698</v>
      </c>
      <c r="BD41" s="64" t="n">
        <f aca="false">AO41/SUM($AL41:$AQ41)</f>
        <v>0.277873255872094</v>
      </c>
      <c r="BE41" s="64" t="n">
        <f aca="false">AP41/SUM($AL41:$AQ41)</f>
        <v>0.00530447459100224</v>
      </c>
      <c r="BF41" s="64" t="n">
        <f aca="false">AQ41/SUM($AL41:$AQ41)</f>
        <v>0.0340171648263626</v>
      </c>
      <c r="BG41" s="65" t="e">
        <f aca="false">#N/A</f>
        <v>#N/A</v>
      </c>
      <c r="BH41" s="37" t="s">
        <v>393</v>
      </c>
      <c r="BI41" s="37" t="s">
        <v>463</v>
      </c>
      <c r="BJ41" s="37" t="s">
        <v>492</v>
      </c>
      <c r="BK41" s="40" t="s">
        <v>4</v>
      </c>
      <c r="BL41" s="37" t="s">
        <v>493</v>
      </c>
      <c r="BM41" s="37" t="s">
        <v>397</v>
      </c>
      <c r="BN41" s="37" t="s">
        <v>397</v>
      </c>
      <c r="BO41" s="37" t="s">
        <v>465</v>
      </c>
      <c r="BP41" s="37" t="s">
        <v>397</v>
      </c>
      <c r="BQ41" s="37" t="s">
        <v>399</v>
      </c>
      <c r="BR41" s="37" t="s">
        <v>400</v>
      </c>
      <c r="BS41" s="37" t="s">
        <v>405</v>
      </c>
      <c r="BT41" s="37" t="s">
        <v>103</v>
      </c>
      <c r="BU41" s="37" t="s">
        <v>466</v>
      </c>
      <c r="BV41" s="37" t="s">
        <v>104</v>
      </c>
      <c r="BW41" s="37" t="s">
        <v>402</v>
      </c>
    </row>
    <row r="42" customFormat="false" ht="14.9" hidden="false" customHeight="false" outlineLevel="0" collapsed="false">
      <c r="A42" s="37" t="s">
        <v>511</v>
      </c>
      <c r="B42" s="62" t="s">
        <v>139</v>
      </c>
      <c r="C42" s="37" t="s">
        <v>138</v>
      </c>
      <c r="D42" s="37" t="n">
        <f aca="false">INDEX(Strain_IDs!C:C,MATCH(Table1[[#This Row],[Strains]],Strain_IDs!D:D,0))</f>
        <v>7.1</v>
      </c>
      <c r="E42" s="37" t="s">
        <v>382</v>
      </c>
      <c r="F42" s="37" t="s">
        <v>20</v>
      </c>
      <c r="G42" s="37" t="s">
        <v>21</v>
      </c>
      <c r="H42" s="37" t="s">
        <v>27</v>
      </c>
      <c r="I42" s="37" t="s">
        <v>455</v>
      </c>
      <c r="J42" s="37"/>
      <c r="K42" s="37" t="s">
        <v>384</v>
      </c>
      <c r="L42" s="37" t="s">
        <v>20</v>
      </c>
      <c r="M42" s="37" t="s">
        <v>385</v>
      </c>
      <c r="N42" s="37" t="s">
        <v>27</v>
      </c>
      <c r="O42" s="40" t="s">
        <v>455</v>
      </c>
      <c r="P42" s="40"/>
      <c r="Q42" s="37" t="s">
        <v>456</v>
      </c>
      <c r="R42" s="37" t="s">
        <v>62</v>
      </c>
      <c r="S42" s="37" t="s">
        <v>63</v>
      </c>
      <c r="T42" s="37" t="s">
        <v>457</v>
      </c>
      <c r="U42" s="37" t="s">
        <v>458</v>
      </c>
      <c r="V42" s="37" t="s">
        <v>459</v>
      </c>
      <c r="W42" s="37" t="s">
        <v>512</v>
      </c>
      <c r="X42" s="37" t="n">
        <v>28</v>
      </c>
      <c r="Y42" s="37"/>
      <c r="Z42" s="37" t="n">
        <v>7.5</v>
      </c>
      <c r="AA42" s="37"/>
      <c r="AB42" s="37"/>
      <c r="AC42" s="37"/>
      <c r="AD42" s="37"/>
      <c r="AE42" s="37"/>
      <c r="AF42" s="37" t="s">
        <v>389</v>
      </c>
      <c r="AG42" s="62" t="s">
        <v>390</v>
      </c>
      <c r="AH42" s="63" t="s">
        <v>391</v>
      </c>
      <c r="AI42" s="62"/>
      <c r="AJ42" s="37" t="s">
        <v>491</v>
      </c>
      <c r="AK42" s="37" t="n">
        <f aca="false">SUM(Table1[[#This Row],[reported_1302]:[reported_1286_iso]])</f>
        <v>34.980414462535</v>
      </c>
      <c r="AL42" s="64" t="n">
        <v>0.0857367320422929</v>
      </c>
      <c r="AM42" s="64" t="n">
        <v>1.07027749656889</v>
      </c>
      <c r="AN42" s="64" t="n">
        <v>13.2900320544714</v>
      </c>
      <c r="AO42" s="64" t="n">
        <v>9.89834421653803</v>
      </c>
      <c r="AP42" s="64" t="n">
        <v>0.515838111871423</v>
      </c>
      <c r="AQ42" s="64" t="n">
        <v>1.13566668558685</v>
      </c>
      <c r="AR42" s="64" t="n">
        <v>8.98451916545607</v>
      </c>
      <c r="AS42" s="64"/>
      <c r="AT42" s="64"/>
      <c r="AU42" s="64"/>
      <c r="AV42" s="64"/>
      <c r="AW42" s="64"/>
      <c r="AX42" s="64"/>
      <c r="AY42" s="64"/>
      <c r="AZ42" s="64"/>
      <c r="BA42" s="64" t="n">
        <f aca="false">AL42/SUM($AL42:$AQ42)</f>
        <v>0.00329808729657128</v>
      </c>
      <c r="BB42" s="64" t="n">
        <f aca="false">AM42/SUM($AL42:$AQ42)</f>
        <v>0.0411710188988627</v>
      </c>
      <c r="BC42" s="64" t="n">
        <f aca="false">AN42/SUM($AL42:$AQ42)</f>
        <v>0.511235789442681</v>
      </c>
      <c r="BD42" s="64" t="n">
        <f aca="false">AO42/SUM($AL42:$AQ42)</f>
        <v>0.380765659478952</v>
      </c>
      <c r="BE42" s="64" t="n">
        <f aca="false">AP42/SUM($AL42:$AQ42)</f>
        <v>0.0198430600668478</v>
      </c>
      <c r="BF42" s="64" t="n">
        <f aca="false">AQ42/SUM($AL42:$AQ42)</f>
        <v>0.0436863848160853</v>
      </c>
      <c r="BG42" s="65" t="e">
        <f aca="false">#N/A</f>
        <v>#N/A</v>
      </c>
      <c r="BH42" s="37" t="s">
        <v>393</v>
      </c>
      <c r="BI42" s="37" t="s">
        <v>463</v>
      </c>
      <c r="BJ42" s="37" t="s">
        <v>492</v>
      </c>
      <c r="BK42" s="40" t="s">
        <v>4</v>
      </c>
      <c r="BL42" s="37" t="s">
        <v>493</v>
      </c>
      <c r="BM42" s="37" t="s">
        <v>397</v>
      </c>
      <c r="BN42" s="37" t="s">
        <v>397</v>
      </c>
      <c r="BO42" s="37" t="s">
        <v>465</v>
      </c>
      <c r="BP42" s="37" t="s">
        <v>397</v>
      </c>
      <c r="BQ42" s="37" t="s">
        <v>399</v>
      </c>
      <c r="BR42" s="37" t="s">
        <v>400</v>
      </c>
      <c r="BS42" s="37" t="s">
        <v>405</v>
      </c>
      <c r="BT42" s="37" t="s">
        <v>103</v>
      </c>
      <c r="BU42" s="37" t="s">
        <v>466</v>
      </c>
      <c r="BV42" s="37" t="s">
        <v>104</v>
      </c>
      <c r="BW42" s="37" t="s">
        <v>402</v>
      </c>
    </row>
    <row r="43" customFormat="false" ht="14.9" hidden="false" customHeight="false" outlineLevel="0" collapsed="false">
      <c r="A43" s="37" t="s">
        <v>513</v>
      </c>
      <c r="B43" s="62" t="s">
        <v>304</v>
      </c>
      <c r="C43" s="37" t="s">
        <v>303</v>
      </c>
      <c r="D43" s="37" t="n">
        <f aca="false">INDEX(Strain_IDs!C:C,MATCH(Table1[[#This Row],[Strains]],Strain_IDs!D:D,0))</f>
        <v>25.1</v>
      </c>
      <c r="E43" s="37" t="s">
        <v>382</v>
      </c>
      <c r="F43" s="37" t="s">
        <v>20</v>
      </c>
      <c r="G43" s="37" t="s">
        <v>21</v>
      </c>
      <c r="H43" s="37" t="s">
        <v>514</v>
      </c>
      <c r="I43" s="37" t="s">
        <v>515</v>
      </c>
      <c r="J43" s="37"/>
      <c r="K43" s="37" t="s">
        <v>384</v>
      </c>
      <c r="L43" s="37" t="s">
        <v>20</v>
      </c>
      <c r="M43" s="37" t="s">
        <v>516</v>
      </c>
      <c r="N43" s="37" t="s">
        <v>36</v>
      </c>
      <c r="O43" s="37" t="s">
        <v>517</v>
      </c>
      <c r="P43" s="37"/>
      <c r="Q43" s="37" t="s">
        <v>386</v>
      </c>
      <c r="R43" s="37" t="s">
        <v>305</v>
      </c>
      <c r="S43" s="37" t="s">
        <v>306</v>
      </c>
      <c r="T43" s="37" t="s">
        <v>457</v>
      </c>
      <c r="U43" s="37"/>
      <c r="V43" s="37"/>
      <c r="W43" s="37" t="s">
        <v>518</v>
      </c>
      <c r="X43" s="37" t="n">
        <v>72</v>
      </c>
      <c r="Y43" s="37"/>
      <c r="Z43" s="37" t="n">
        <v>7</v>
      </c>
      <c r="AA43" s="37"/>
      <c r="AB43" s="37"/>
      <c r="AC43" s="37"/>
      <c r="AD43" s="37"/>
      <c r="AE43" s="37"/>
      <c r="AF43" s="37" t="s">
        <v>389</v>
      </c>
      <c r="AG43" s="62" t="s">
        <v>390</v>
      </c>
      <c r="AH43" s="63" t="s">
        <v>417</v>
      </c>
      <c r="AI43" s="62"/>
      <c r="AJ43" s="37" t="s">
        <v>491</v>
      </c>
      <c r="AK43" s="37" t="n">
        <f aca="false">SUM(Table1[[#This Row],[reported_1302]:[reported_1286_iso]])</f>
        <v>78.7775912318573</v>
      </c>
      <c r="AL43" s="64" t="n">
        <v>0.16234894897708</v>
      </c>
      <c r="AM43" s="64" t="n">
        <v>0.238167780132259</v>
      </c>
      <c r="AN43" s="64" t="n">
        <v>0.39306706296659</v>
      </c>
      <c r="AO43" s="64" t="n">
        <v>0.311164035699694</v>
      </c>
      <c r="AP43" s="64" t="n">
        <v>67.9684307748193</v>
      </c>
      <c r="AQ43" s="64" t="n">
        <v>5.48865179539637</v>
      </c>
      <c r="AR43" s="64" t="n">
        <v>4.21576083386597</v>
      </c>
      <c r="AS43" s="64"/>
      <c r="AT43" s="64"/>
      <c r="AU43" s="64"/>
      <c r="AV43" s="64"/>
      <c r="AW43" s="64"/>
      <c r="AX43" s="64"/>
      <c r="AY43" s="64"/>
      <c r="AZ43" s="64"/>
      <c r="BA43" s="64" t="n">
        <f aca="false">AL43/SUM($AL43:$AQ43)</f>
        <v>0.00217737343772952</v>
      </c>
      <c r="BB43" s="64" t="n">
        <f aca="false">AM43/SUM($AL43:$AQ43)</f>
        <v>0.00319423193959942</v>
      </c>
      <c r="BC43" s="64" t="n">
        <f aca="false">AN43/SUM($AL43:$AQ43)</f>
        <v>0.00527169277991839</v>
      </c>
      <c r="BD43" s="64" t="n">
        <f aca="false">AO43/SUM($AL43:$AQ43)</f>
        <v>0.00417323493855747</v>
      </c>
      <c r="BE43" s="64" t="n">
        <f aca="false">AP43/SUM($AL43:$AQ43)</f>
        <v>0.911571381925871</v>
      </c>
      <c r="BF43" s="64" t="n">
        <f aca="false">AQ43/SUM($AL43:$AQ43)</f>
        <v>0.0736120849783247</v>
      </c>
      <c r="BG43" s="65" t="e">
        <f aca="false">#N/A</f>
        <v>#N/A</v>
      </c>
      <c r="BH43" s="37" t="s">
        <v>393</v>
      </c>
      <c r="BI43" s="37" t="s">
        <v>394</v>
      </c>
      <c r="BJ43" s="37" t="s">
        <v>492</v>
      </c>
      <c r="BK43" s="40" t="s">
        <v>4</v>
      </c>
      <c r="BL43" s="37" t="s">
        <v>493</v>
      </c>
      <c r="BM43" s="37" t="s">
        <v>397</v>
      </c>
      <c r="BN43" s="37" t="s">
        <v>397</v>
      </c>
      <c r="BO43" s="37" t="s">
        <v>465</v>
      </c>
      <c r="BP43" s="37" t="s">
        <v>397</v>
      </c>
      <c r="BQ43" s="37" t="s">
        <v>397</v>
      </c>
      <c r="BR43" s="37" t="s">
        <v>405</v>
      </c>
      <c r="BS43" s="37" t="s">
        <v>405</v>
      </c>
      <c r="BT43" s="37" t="s">
        <v>103</v>
      </c>
      <c r="BU43" s="37" t="s">
        <v>466</v>
      </c>
      <c r="BV43" s="37" t="s">
        <v>104</v>
      </c>
      <c r="BW43" s="37" t="s">
        <v>402</v>
      </c>
    </row>
    <row r="44" customFormat="false" ht="14.9" hidden="false" customHeight="false" outlineLevel="0" collapsed="false">
      <c r="A44" s="37" t="s">
        <v>519</v>
      </c>
      <c r="B44" s="62" t="s">
        <v>204</v>
      </c>
      <c r="C44" s="37" t="s">
        <v>203</v>
      </c>
      <c r="D44" s="37" t="n">
        <f aca="false">INDEX(Strain_IDs!C:C,MATCH(Table1[[#This Row],[Strains]],Strain_IDs!D:D,0))</f>
        <v>15</v>
      </c>
      <c r="E44" s="37" t="s">
        <v>382</v>
      </c>
      <c r="F44" s="37" t="s">
        <v>20</v>
      </c>
      <c r="G44" s="37" t="s">
        <v>21</v>
      </c>
      <c r="H44" s="37" t="s">
        <v>28</v>
      </c>
      <c r="I44" s="37" t="s">
        <v>520</v>
      </c>
      <c r="J44" s="37"/>
      <c r="K44" s="37" t="s">
        <v>384</v>
      </c>
      <c r="L44" s="37" t="s">
        <v>20</v>
      </c>
      <c r="M44" s="37" t="s">
        <v>21</v>
      </c>
      <c r="N44" s="37" t="s">
        <v>28</v>
      </c>
      <c r="O44" s="37" t="s">
        <v>520</v>
      </c>
      <c r="P44" s="37"/>
      <c r="Q44" s="37" t="s">
        <v>386</v>
      </c>
      <c r="R44" s="37" t="s">
        <v>207</v>
      </c>
      <c r="S44" s="37" t="s">
        <v>208</v>
      </c>
      <c r="T44" s="37" t="s">
        <v>387</v>
      </c>
      <c r="U44" s="37"/>
      <c r="V44" s="37"/>
      <c r="W44" s="37" t="s">
        <v>521</v>
      </c>
      <c r="X44" s="37" t="n">
        <v>46</v>
      </c>
      <c r="Y44" s="37"/>
      <c r="Z44" s="37" t="n">
        <v>7.8</v>
      </c>
      <c r="AA44" s="37"/>
      <c r="AB44" s="37"/>
      <c r="AC44" s="37"/>
      <c r="AD44" s="37"/>
      <c r="AE44" s="37" t="s">
        <v>522</v>
      </c>
      <c r="AF44" s="37" t="s">
        <v>389</v>
      </c>
      <c r="AG44" s="62" t="s">
        <v>390</v>
      </c>
      <c r="AH44" s="63" t="s">
        <v>417</v>
      </c>
      <c r="AI44" s="62"/>
      <c r="AJ44" s="37" t="s">
        <v>491</v>
      </c>
      <c r="AK44" s="37" t="n">
        <f aca="false">SUM(Table1[[#This Row],[reported_1302]:[reported_1286_iso]])</f>
        <v>49.072084356254</v>
      </c>
      <c r="AL44" s="64" t="n">
        <v>1.5837492047948</v>
      </c>
      <c r="AM44" s="64" t="n">
        <v>1.3507600050849</v>
      </c>
      <c r="AN44" s="64" t="n">
        <v>1.51835141371965</v>
      </c>
      <c r="AO44" s="64" t="n">
        <v>1.29155650315485</v>
      </c>
      <c r="AP44" s="64" t="n">
        <v>37.3193390485025</v>
      </c>
      <c r="AQ44" s="64" t="n">
        <v>0.705535009611373</v>
      </c>
      <c r="AR44" s="64" t="n">
        <v>5.30279317138594</v>
      </c>
      <c r="AS44" s="64"/>
      <c r="AT44" s="64"/>
      <c r="AU44" s="64"/>
      <c r="AV44" s="64"/>
      <c r="AW44" s="64"/>
      <c r="AX44" s="64"/>
      <c r="AY44" s="64"/>
      <c r="AZ44" s="64"/>
      <c r="BA44" s="64" t="n">
        <f aca="false">AL44/SUM($AL44:$AQ44)</f>
        <v>0.0361840267895938</v>
      </c>
      <c r="BB44" s="64" t="n">
        <f aca="false">AM44/SUM($AL44:$AQ44)</f>
        <v>0.0308609065515753</v>
      </c>
      <c r="BC44" s="64" t="n">
        <f aca="false">AN44/SUM($AL44:$AQ44)</f>
        <v>0.0346898789680326</v>
      </c>
      <c r="BD44" s="64" t="n">
        <f aca="false">AO44/SUM($AL44:$AQ44)</f>
        <v>0.0295082800792846</v>
      </c>
      <c r="BE44" s="64" t="n">
        <f aca="false">AP44/SUM($AL44:$AQ44)</f>
        <v>0.8526375008194</v>
      </c>
      <c r="BF44" s="64" t="n">
        <f aca="false">AQ44/SUM($AL44:$AQ44)</f>
        <v>0.0161194067921139</v>
      </c>
      <c r="BG44" s="65" t="e">
        <f aca="false">#N/A</f>
        <v>#N/A</v>
      </c>
      <c r="BH44" s="37" t="s">
        <v>393</v>
      </c>
      <c r="BI44" s="37" t="s">
        <v>394</v>
      </c>
      <c r="BJ44" s="37" t="s">
        <v>492</v>
      </c>
      <c r="BK44" s="40" t="s">
        <v>4</v>
      </c>
      <c r="BL44" s="37" t="s">
        <v>493</v>
      </c>
      <c r="BM44" s="37" t="s">
        <v>397</v>
      </c>
      <c r="BN44" s="37" t="s">
        <v>397</v>
      </c>
      <c r="BO44" s="37" t="s">
        <v>465</v>
      </c>
      <c r="BP44" s="37" t="s">
        <v>397</v>
      </c>
      <c r="BQ44" s="37" t="s">
        <v>397</v>
      </c>
      <c r="BR44" s="37" t="s">
        <v>405</v>
      </c>
      <c r="BS44" s="37" t="s">
        <v>405</v>
      </c>
      <c r="BT44" s="37" t="s">
        <v>103</v>
      </c>
      <c r="BU44" s="37" t="s">
        <v>466</v>
      </c>
      <c r="BV44" s="37" t="s">
        <v>104</v>
      </c>
      <c r="BW44" s="37" t="s">
        <v>402</v>
      </c>
    </row>
    <row r="45" customFormat="false" ht="14.9" hidden="false" customHeight="false" outlineLevel="0" collapsed="false">
      <c r="A45" s="37" t="s">
        <v>523</v>
      </c>
      <c r="B45" s="62" t="s">
        <v>204</v>
      </c>
      <c r="C45" s="37" t="s">
        <v>203</v>
      </c>
      <c r="D45" s="37" t="n">
        <f aca="false">INDEX(Strain_IDs!C:C,MATCH(Table1[[#This Row],[Strains]],Strain_IDs!D:D,0))</f>
        <v>15</v>
      </c>
      <c r="E45" s="37" t="s">
        <v>382</v>
      </c>
      <c r="F45" s="37" t="s">
        <v>20</v>
      </c>
      <c r="G45" s="37" t="s">
        <v>21</v>
      </c>
      <c r="H45" s="37" t="s">
        <v>28</v>
      </c>
      <c r="I45" s="37" t="s">
        <v>520</v>
      </c>
      <c r="J45" s="37"/>
      <c r="K45" s="37" t="s">
        <v>384</v>
      </c>
      <c r="L45" s="37" t="s">
        <v>20</v>
      </c>
      <c r="M45" s="37" t="s">
        <v>21</v>
      </c>
      <c r="N45" s="37" t="s">
        <v>28</v>
      </c>
      <c r="O45" s="37" t="s">
        <v>520</v>
      </c>
      <c r="P45" s="37"/>
      <c r="Q45" s="37" t="s">
        <v>386</v>
      </c>
      <c r="R45" s="37" t="s">
        <v>207</v>
      </c>
      <c r="S45" s="37" t="s">
        <v>208</v>
      </c>
      <c r="T45" s="37" t="s">
        <v>387</v>
      </c>
      <c r="U45" s="37"/>
      <c r="V45" s="37"/>
      <c r="W45" s="37" t="s">
        <v>524</v>
      </c>
      <c r="X45" s="37" t="n">
        <v>46</v>
      </c>
      <c r="Y45" s="37"/>
      <c r="Z45" s="37" t="n">
        <v>7.8</v>
      </c>
      <c r="AA45" s="37"/>
      <c r="AB45" s="37"/>
      <c r="AC45" s="37"/>
      <c r="AD45" s="37"/>
      <c r="AE45" s="37" t="s">
        <v>522</v>
      </c>
      <c r="AF45" s="37" t="s">
        <v>389</v>
      </c>
      <c r="AG45" s="62" t="s">
        <v>390</v>
      </c>
      <c r="AH45" s="63" t="s">
        <v>391</v>
      </c>
      <c r="AI45" s="62"/>
      <c r="AJ45" s="37" t="s">
        <v>491</v>
      </c>
      <c r="AK45" s="37" t="n">
        <f aca="false">SUM(Table1[[#This Row],[reported_1302]:[reported_1286_iso]])</f>
        <v>19.3753462382623</v>
      </c>
      <c r="AL45" s="64" t="n">
        <v>0.0827366341639229</v>
      </c>
      <c r="AM45" s="64" t="n">
        <v>1.26332019975718</v>
      </c>
      <c r="AN45" s="64" t="n">
        <v>5.6848979614474</v>
      </c>
      <c r="AO45" s="64" t="n">
        <v>4.28892587494397</v>
      </c>
      <c r="AP45" s="64" t="n">
        <v>0.50322098997341</v>
      </c>
      <c r="AQ45" s="64" t="n">
        <v>0.747002661298785</v>
      </c>
      <c r="AR45" s="64" t="n">
        <v>6.80524191667763</v>
      </c>
      <c r="AS45" s="64"/>
      <c r="AT45" s="64"/>
      <c r="AU45" s="64"/>
      <c r="AV45" s="64"/>
      <c r="AW45" s="64"/>
      <c r="AX45" s="64"/>
      <c r="AY45" s="64"/>
      <c r="AZ45" s="64"/>
      <c r="BA45" s="64" t="n">
        <f aca="false">AL45/SUM($AL45:$AQ45)</f>
        <v>0.0065820165089523</v>
      </c>
      <c r="BB45" s="64" t="n">
        <f aca="false">AM45/SUM($AL45:$AQ45)</f>
        <v>0.10050196620786</v>
      </c>
      <c r="BC45" s="64" t="n">
        <f aca="false">AN45/SUM($AL45:$AQ45)</f>
        <v>0.452255432095788</v>
      </c>
      <c r="BD45" s="64" t="n">
        <f aca="false">AO45/SUM($AL45:$AQ45)</f>
        <v>0.341200499631437</v>
      </c>
      <c r="BE45" s="64" t="n">
        <f aca="false">AP45/SUM($AL45:$AQ45)</f>
        <v>0.0400331593994258</v>
      </c>
      <c r="BF45" s="64" t="n">
        <f aca="false">AQ45/SUM($AL45:$AQ45)</f>
        <v>0.0594269261565375</v>
      </c>
      <c r="BG45" s="65" t="e">
        <f aca="false">#N/A</f>
        <v>#N/A</v>
      </c>
      <c r="BH45" s="37" t="s">
        <v>393</v>
      </c>
      <c r="BI45" s="37" t="s">
        <v>463</v>
      </c>
      <c r="BJ45" s="37" t="s">
        <v>492</v>
      </c>
      <c r="BK45" s="40" t="s">
        <v>4</v>
      </c>
      <c r="BL45" s="37" t="s">
        <v>493</v>
      </c>
      <c r="BM45" s="37" t="s">
        <v>397</v>
      </c>
      <c r="BN45" s="37" t="s">
        <v>397</v>
      </c>
      <c r="BO45" s="37" t="s">
        <v>465</v>
      </c>
      <c r="BP45" s="37" t="s">
        <v>397</v>
      </c>
      <c r="BQ45" s="37" t="s">
        <v>399</v>
      </c>
      <c r="BR45" s="37" t="s">
        <v>400</v>
      </c>
      <c r="BS45" s="37" t="s">
        <v>405</v>
      </c>
      <c r="BT45" s="37" t="s">
        <v>103</v>
      </c>
      <c r="BU45" s="37" t="s">
        <v>466</v>
      </c>
      <c r="BV45" s="37" t="s">
        <v>104</v>
      </c>
      <c r="BW45" s="37" t="s">
        <v>402</v>
      </c>
    </row>
    <row r="46" customFormat="false" ht="14.9" hidden="false" customHeight="false" outlineLevel="0" collapsed="false">
      <c r="A46" s="37" t="s">
        <v>525</v>
      </c>
      <c r="B46" s="62" t="s">
        <v>96</v>
      </c>
      <c r="C46" s="37" t="s">
        <v>95</v>
      </c>
      <c r="D46" s="37" t="n">
        <f aca="false">INDEX(Strain_IDs!C:C,MATCH(Table1[[#This Row],[Strains]],Strain_IDs!D:D,0))</f>
        <v>5</v>
      </c>
      <c r="E46" s="37" t="s">
        <v>382</v>
      </c>
      <c r="F46" s="37" t="s">
        <v>20</v>
      </c>
      <c r="G46" s="37" t="s">
        <v>21</v>
      </c>
      <c r="H46" s="37" t="s">
        <v>27</v>
      </c>
      <c r="I46" s="37" t="s">
        <v>455</v>
      </c>
      <c r="J46" s="37" t="s">
        <v>487</v>
      </c>
      <c r="K46" s="37" t="s">
        <v>384</v>
      </c>
      <c r="L46" s="37" t="s">
        <v>20</v>
      </c>
      <c r="M46" s="37" t="s">
        <v>385</v>
      </c>
      <c r="N46" s="37" t="s">
        <v>27</v>
      </c>
      <c r="O46" s="40" t="s">
        <v>455</v>
      </c>
      <c r="P46" s="37" t="s">
        <v>487</v>
      </c>
      <c r="Q46" s="37" t="s">
        <v>456</v>
      </c>
      <c r="R46" s="37" t="s">
        <v>62</v>
      </c>
      <c r="S46" s="37" t="s">
        <v>63</v>
      </c>
      <c r="T46" s="37" t="s">
        <v>387</v>
      </c>
      <c r="U46" s="37" t="s">
        <v>488</v>
      </c>
      <c r="V46" s="37" t="s">
        <v>489</v>
      </c>
      <c r="W46" s="37" t="s">
        <v>526</v>
      </c>
      <c r="X46" s="37" t="n">
        <v>30</v>
      </c>
      <c r="Y46" s="37"/>
      <c r="Z46" s="37" t="n">
        <v>7.2</v>
      </c>
      <c r="AA46" s="37"/>
      <c r="AB46" s="37"/>
      <c r="AC46" s="37"/>
      <c r="AD46" s="37"/>
      <c r="AE46" s="37"/>
      <c r="AF46" s="37" t="s">
        <v>389</v>
      </c>
      <c r="AG46" s="62" t="s">
        <v>390</v>
      </c>
      <c r="AH46" s="63" t="s">
        <v>438</v>
      </c>
      <c r="AI46" s="62"/>
      <c r="AJ46" s="37" t="s">
        <v>491</v>
      </c>
      <c r="AK46" s="37" t="n">
        <f aca="false">SUM(Table1[[#This Row],[reported_1302]:[reported_1286_iso]])</f>
        <v>96.3087200520614</v>
      </c>
      <c r="AL46" s="64" t="n">
        <v>9.13617310466401</v>
      </c>
      <c r="AM46" s="64" t="n">
        <v>21.3281412183935</v>
      </c>
      <c r="AN46" s="64" t="n">
        <v>33.0981669730905</v>
      </c>
      <c r="AO46" s="64" t="n">
        <v>7.86073630741743</v>
      </c>
      <c r="AP46" s="64" t="n">
        <v>12.462341369751</v>
      </c>
      <c r="AQ46" s="64" t="n">
        <v>1.2013556460048</v>
      </c>
      <c r="AR46" s="64" t="n">
        <v>11.2218054327401</v>
      </c>
      <c r="AS46" s="64"/>
      <c r="AT46" s="64"/>
      <c r="AU46" s="64"/>
      <c r="AV46" s="64"/>
      <c r="AW46" s="64"/>
      <c r="AX46" s="64"/>
      <c r="AY46" s="64"/>
      <c r="AZ46" s="64"/>
      <c r="BA46" s="64" t="n">
        <f aca="false">AL46/SUM($AL46:$AQ46)</f>
        <v>0.107374596264763</v>
      </c>
      <c r="BB46" s="64" t="n">
        <f aca="false">AM46/SUM($AL46:$AQ46)</f>
        <v>0.250662999285091</v>
      </c>
      <c r="BC46" s="64" t="n">
        <f aca="false">AN46/SUM($AL46:$AQ46)</f>
        <v>0.388992445209368</v>
      </c>
      <c r="BD46" s="64" t="n">
        <f aca="false">AO46/SUM($AL46:$AQ46)</f>
        <v>0.0923847849294613</v>
      </c>
      <c r="BE46" s="64" t="n">
        <f aca="false">AP46/SUM($AL46:$AQ46)</f>
        <v>0.146466015667715</v>
      </c>
      <c r="BF46" s="64" t="n">
        <f aca="false">AQ46/SUM($AL46:$AQ46)</f>
        <v>0.0141191586436018</v>
      </c>
      <c r="BG46" s="65" t="e">
        <f aca="false">#N/A</f>
        <v>#N/A</v>
      </c>
      <c r="BH46" s="37" t="s">
        <v>393</v>
      </c>
      <c r="BI46" s="37" t="s">
        <v>463</v>
      </c>
      <c r="BJ46" s="37" t="s">
        <v>492</v>
      </c>
      <c r="BK46" s="40" t="s">
        <v>4</v>
      </c>
      <c r="BL46" s="37" t="s">
        <v>527</v>
      </c>
      <c r="BM46" s="37" t="s">
        <v>397</v>
      </c>
      <c r="BN46" s="37" t="s">
        <v>397</v>
      </c>
      <c r="BO46" s="37" t="s">
        <v>465</v>
      </c>
      <c r="BP46" s="37" t="s">
        <v>397</v>
      </c>
      <c r="BQ46" s="37" t="s">
        <v>399</v>
      </c>
      <c r="BR46" s="37" t="s">
        <v>400</v>
      </c>
      <c r="BS46" s="37" t="s">
        <v>405</v>
      </c>
      <c r="BT46" s="37" t="s">
        <v>103</v>
      </c>
      <c r="BU46" s="37" t="s">
        <v>466</v>
      </c>
      <c r="BV46" s="37" t="s">
        <v>104</v>
      </c>
      <c r="BW46" s="37" t="s">
        <v>402</v>
      </c>
    </row>
    <row r="47" customFormat="false" ht="14.9" hidden="false" customHeight="false" outlineLevel="0" collapsed="false">
      <c r="A47" s="37" t="s">
        <v>528</v>
      </c>
      <c r="B47" s="62" t="s">
        <v>130</v>
      </c>
      <c r="C47" s="37" t="s">
        <v>129</v>
      </c>
      <c r="D47" s="37" t="n">
        <f aca="false">INDEX(Strain_IDs!C:C,MATCH(Table1[[#This Row],[Strains]],Strain_IDs!D:D,0))</f>
        <v>7</v>
      </c>
      <c r="E47" s="37" t="s">
        <v>382</v>
      </c>
      <c r="F47" s="37" t="s">
        <v>20</v>
      </c>
      <c r="G47" s="37" t="s">
        <v>21</v>
      </c>
      <c r="H47" s="37" t="s">
        <v>27</v>
      </c>
      <c r="I47" s="37" t="s">
        <v>455</v>
      </c>
      <c r="J47" s="37" t="s">
        <v>480</v>
      </c>
      <c r="K47" s="37" t="s">
        <v>384</v>
      </c>
      <c r="L47" s="37" t="s">
        <v>20</v>
      </c>
      <c r="M47" s="37" t="s">
        <v>385</v>
      </c>
      <c r="N47" s="37" t="s">
        <v>27</v>
      </c>
      <c r="O47" s="40" t="s">
        <v>455</v>
      </c>
      <c r="P47" s="40" t="s">
        <v>480</v>
      </c>
      <c r="Q47" s="37" t="s">
        <v>456</v>
      </c>
      <c r="R47" s="37" t="s">
        <v>62</v>
      </c>
      <c r="S47" s="37" t="s">
        <v>63</v>
      </c>
      <c r="T47" s="37" t="s">
        <v>387</v>
      </c>
      <c r="U47" s="37" t="s">
        <v>133</v>
      </c>
      <c r="V47" s="37" t="s">
        <v>134</v>
      </c>
      <c r="W47" s="37" t="s">
        <v>529</v>
      </c>
      <c r="X47" s="37" t="n">
        <v>28</v>
      </c>
      <c r="Y47" s="37"/>
      <c r="Z47" s="37" t="n">
        <v>7.5</v>
      </c>
      <c r="AA47" s="37"/>
      <c r="AB47" s="37"/>
      <c r="AC47" s="37"/>
      <c r="AD47" s="37"/>
      <c r="AE47" s="37"/>
      <c r="AF47" s="37" t="s">
        <v>389</v>
      </c>
      <c r="AG47" s="62" t="s">
        <v>390</v>
      </c>
      <c r="AH47" s="63" t="s">
        <v>438</v>
      </c>
      <c r="AI47" s="62"/>
      <c r="AJ47" s="37" t="s">
        <v>491</v>
      </c>
      <c r="AK47" s="37" t="n">
        <f aca="false">SUM(Table1[[#This Row],[reported_1302]:[reported_1286_iso]])</f>
        <v>99.9956900160148</v>
      </c>
      <c r="AL47" s="64" t="n">
        <v>11.9087203249125</v>
      </c>
      <c r="AM47" s="64" t="n">
        <v>13.9406052504518</v>
      </c>
      <c r="AN47" s="64" t="n">
        <v>34.7569055700608</v>
      </c>
      <c r="AO47" s="64" t="n">
        <v>12.5536085085512</v>
      </c>
      <c r="AP47" s="64" t="n">
        <v>14.5171495382647</v>
      </c>
      <c r="AQ47" s="64" t="n">
        <v>0.733944700392879</v>
      </c>
      <c r="AR47" s="64" t="n">
        <v>11.5847561233809</v>
      </c>
      <c r="AS47" s="64"/>
      <c r="AT47" s="64"/>
      <c r="AU47" s="64"/>
      <c r="AV47" s="64"/>
      <c r="AW47" s="64"/>
      <c r="AX47" s="64"/>
      <c r="AY47" s="64"/>
      <c r="AZ47" s="64"/>
      <c r="BA47" s="64" t="n">
        <f aca="false">AL47/SUM($AL47:$AQ47)</f>
        <v>0.134697370569283</v>
      </c>
      <c r="BB47" s="64" t="n">
        <f aca="false">AM47/SUM($AL47:$AQ47)</f>
        <v>0.15767965156189</v>
      </c>
      <c r="BC47" s="64" t="n">
        <f aca="false">AN47/SUM($AL47:$AQ47)</f>
        <v>0.393129040037848</v>
      </c>
      <c r="BD47" s="64" t="n">
        <f aca="false">AO47/SUM($AL47:$AQ47)</f>
        <v>0.141991583572641</v>
      </c>
      <c r="BE47" s="64" t="n">
        <f aca="false">AP47/SUM($AL47:$AQ47)</f>
        <v>0.1642008391846</v>
      </c>
      <c r="BF47" s="64" t="n">
        <f aca="false">AQ47/SUM($AL47:$AQ47)</f>
        <v>0.00830151507373715</v>
      </c>
      <c r="BG47" s="65" t="e">
        <f aca="false">#N/A</f>
        <v>#N/A</v>
      </c>
      <c r="BH47" s="37" t="s">
        <v>393</v>
      </c>
      <c r="BI47" s="37" t="s">
        <v>463</v>
      </c>
      <c r="BJ47" s="37" t="s">
        <v>492</v>
      </c>
      <c r="BK47" s="40" t="s">
        <v>4</v>
      </c>
      <c r="BL47" s="37" t="s">
        <v>527</v>
      </c>
      <c r="BM47" s="37" t="s">
        <v>397</v>
      </c>
      <c r="BN47" s="37" t="s">
        <v>397</v>
      </c>
      <c r="BO47" s="37" t="s">
        <v>465</v>
      </c>
      <c r="BP47" s="37" t="s">
        <v>397</v>
      </c>
      <c r="BQ47" s="37" t="s">
        <v>399</v>
      </c>
      <c r="BR47" s="37" t="s">
        <v>400</v>
      </c>
      <c r="BS47" s="37" t="s">
        <v>405</v>
      </c>
      <c r="BT47" s="37" t="s">
        <v>103</v>
      </c>
      <c r="BU47" s="37" t="s">
        <v>466</v>
      </c>
      <c r="BV47" s="37" t="s">
        <v>104</v>
      </c>
      <c r="BW47" s="37" t="s">
        <v>402</v>
      </c>
    </row>
    <row r="48" customFormat="false" ht="14.9" hidden="false" customHeight="false" outlineLevel="0" collapsed="false">
      <c r="A48" s="37" t="s">
        <v>530</v>
      </c>
      <c r="B48" s="62" t="s">
        <v>144</v>
      </c>
      <c r="C48" s="37" t="s">
        <v>143</v>
      </c>
      <c r="D48" s="37" t="n">
        <f aca="false">INDEX(Strain_IDs!C:C,MATCH(Table1[[#This Row],[Strains]],Strain_IDs!D:D,0))</f>
        <v>8</v>
      </c>
      <c r="E48" s="37" t="s">
        <v>382</v>
      </c>
      <c r="F48" s="37" t="s">
        <v>20</v>
      </c>
      <c r="G48" s="37" t="s">
        <v>21</v>
      </c>
      <c r="H48" s="37" t="s">
        <v>27</v>
      </c>
      <c r="I48" s="37" t="s">
        <v>455</v>
      </c>
      <c r="J48" s="37" t="s">
        <v>497</v>
      </c>
      <c r="K48" s="37" t="s">
        <v>384</v>
      </c>
      <c r="L48" s="37" t="s">
        <v>20</v>
      </c>
      <c r="M48" s="37" t="s">
        <v>385</v>
      </c>
      <c r="N48" s="37" t="s">
        <v>27</v>
      </c>
      <c r="O48" s="40" t="s">
        <v>455</v>
      </c>
      <c r="P48" s="37" t="s">
        <v>497</v>
      </c>
      <c r="Q48" s="37" t="s">
        <v>456</v>
      </c>
      <c r="R48" s="37" t="s">
        <v>62</v>
      </c>
      <c r="S48" s="37" t="s">
        <v>63</v>
      </c>
      <c r="T48" s="37" t="s">
        <v>387</v>
      </c>
      <c r="U48" s="37" t="s">
        <v>488</v>
      </c>
      <c r="V48" s="37" t="s">
        <v>489</v>
      </c>
      <c r="W48" s="37" t="s">
        <v>531</v>
      </c>
      <c r="X48" s="37" t="n">
        <v>30</v>
      </c>
      <c r="Y48" s="37"/>
      <c r="Z48" s="37" t="n">
        <v>7.2</v>
      </c>
      <c r="AA48" s="37"/>
      <c r="AB48" s="37"/>
      <c r="AC48" s="37"/>
      <c r="AD48" s="37"/>
      <c r="AE48" s="37"/>
      <c r="AF48" s="37" t="s">
        <v>389</v>
      </c>
      <c r="AG48" s="62" t="s">
        <v>390</v>
      </c>
      <c r="AH48" s="63" t="s">
        <v>438</v>
      </c>
      <c r="AI48" s="62"/>
      <c r="AJ48" s="37" t="s">
        <v>491</v>
      </c>
      <c r="AK48" s="37" t="n">
        <f aca="false">SUM(Table1[[#This Row],[reported_1302]:[reported_1286_iso]])</f>
        <v>99.8348757506007</v>
      </c>
      <c r="AL48" s="64" t="n">
        <v>6.23426348823763</v>
      </c>
      <c r="AM48" s="64" t="n">
        <v>13.7911185322589</v>
      </c>
      <c r="AN48" s="64" t="n">
        <v>37.9251572728478</v>
      </c>
      <c r="AO48" s="64" t="n">
        <v>11.6742320225314</v>
      </c>
      <c r="AP48" s="64" t="n">
        <v>11.9107409058</v>
      </c>
      <c r="AQ48" s="64" t="n">
        <v>1.18529342417239</v>
      </c>
      <c r="AR48" s="64" t="n">
        <v>17.1140701047526</v>
      </c>
      <c r="AS48" s="64"/>
      <c r="AT48" s="64"/>
      <c r="AU48" s="64"/>
      <c r="AV48" s="64"/>
      <c r="AW48" s="64"/>
      <c r="AX48" s="64"/>
      <c r="AY48" s="64"/>
      <c r="AZ48" s="64"/>
      <c r="BA48" s="64" t="n">
        <f aca="false">AL48/SUM($AL48:$AQ48)</f>
        <v>0.0753651205348305</v>
      </c>
      <c r="BB48" s="64" t="n">
        <f aca="false">AM48/SUM($AL48:$AQ48)</f>
        <v>0.166718861410788</v>
      </c>
      <c r="BC48" s="64" t="n">
        <f aca="false">AN48/SUM($AL48:$AQ48)</f>
        <v>0.458471807385635</v>
      </c>
      <c r="BD48" s="64" t="n">
        <f aca="false">AO48/SUM($AL48:$AQ48)</f>
        <v>0.141128122863215</v>
      </c>
      <c r="BE48" s="64" t="n">
        <f aca="false">AP48/SUM($AL48:$AQ48)</f>
        <v>0.143987244959791</v>
      </c>
      <c r="BF48" s="64" t="n">
        <f aca="false">AQ48/SUM($AL48:$AQ48)</f>
        <v>0.0143288428457404</v>
      </c>
      <c r="BG48" s="65" t="e">
        <f aca="false">#N/A</f>
        <v>#N/A</v>
      </c>
      <c r="BH48" s="37" t="s">
        <v>393</v>
      </c>
      <c r="BI48" s="37" t="s">
        <v>463</v>
      </c>
      <c r="BJ48" s="37" t="s">
        <v>492</v>
      </c>
      <c r="BK48" s="40" t="s">
        <v>4</v>
      </c>
      <c r="BL48" s="37" t="s">
        <v>527</v>
      </c>
      <c r="BM48" s="37" t="s">
        <v>397</v>
      </c>
      <c r="BN48" s="37" t="s">
        <v>397</v>
      </c>
      <c r="BO48" s="37" t="s">
        <v>465</v>
      </c>
      <c r="BP48" s="37" t="s">
        <v>397</v>
      </c>
      <c r="BQ48" s="37" t="s">
        <v>399</v>
      </c>
      <c r="BR48" s="37" t="s">
        <v>400</v>
      </c>
      <c r="BS48" s="37" t="s">
        <v>405</v>
      </c>
      <c r="BT48" s="37" t="s">
        <v>103</v>
      </c>
      <c r="BU48" s="37" t="s">
        <v>466</v>
      </c>
      <c r="BV48" s="37" t="s">
        <v>104</v>
      </c>
      <c r="BW48" s="37" t="s">
        <v>402</v>
      </c>
    </row>
    <row r="49" customFormat="false" ht="14.9" hidden="false" customHeight="false" outlineLevel="0" collapsed="false">
      <c r="A49" s="37" t="s">
        <v>532</v>
      </c>
      <c r="B49" s="62" t="s">
        <v>111</v>
      </c>
      <c r="C49" s="37" t="s">
        <v>110</v>
      </c>
      <c r="D49" s="37" t="n">
        <f aca="false">INDEX(Strain_IDs!C:C,MATCH(Table1[[#This Row],[Strains]],Strain_IDs!D:D,0))</f>
        <v>5.2</v>
      </c>
      <c r="E49" s="37" t="s">
        <v>382</v>
      </c>
      <c r="F49" s="37" t="s">
        <v>20</v>
      </c>
      <c r="G49" s="37" t="s">
        <v>21</v>
      </c>
      <c r="H49" s="37" t="s">
        <v>27</v>
      </c>
      <c r="I49" s="37" t="s">
        <v>455</v>
      </c>
      <c r="J49" s="37"/>
      <c r="K49" s="37" t="s">
        <v>384</v>
      </c>
      <c r="L49" s="37" t="s">
        <v>20</v>
      </c>
      <c r="M49" s="37" t="s">
        <v>385</v>
      </c>
      <c r="N49" s="37" t="s">
        <v>27</v>
      </c>
      <c r="O49" s="40" t="s">
        <v>455</v>
      </c>
      <c r="P49" s="40"/>
      <c r="Q49" s="37" t="s">
        <v>456</v>
      </c>
      <c r="R49" s="37" t="s">
        <v>62</v>
      </c>
      <c r="S49" s="37" t="s">
        <v>63</v>
      </c>
      <c r="T49" s="37" t="s">
        <v>457</v>
      </c>
      <c r="U49" s="37" t="s">
        <v>458</v>
      </c>
      <c r="V49" s="37" t="s">
        <v>459</v>
      </c>
      <c r="W49" s="37" t="s">
        <v>533</v>
      </c>
      <c r="X49" s="37" t="n">
        <v>28</v>
      </c>
      <c r="Y49" s="37"/>
      <c r="Z49" s="37" t="n">
        <v>7.5</v>
      </c>
      <c r="AA49" s="37"/>
      <c r="AB49" s="37"/>
      <c r="AC49" s="37"/>
      <c r="AD49" s="37"/>
      <c r="AE49" s="37"/>
      <c r="AF49" s="37" t="s">
        <v>389</v>
      </c>
      <c r="AG49" s="62" t="s">
        <v>390</v>
      </c>
      <c r="AH49" s="63" t="s">
        <v>438</v>
      </c>
      <c r="AI49" s="62"/>
      <c r="AJ49" s="37" t="s">
        <v>491</v>
      </c>
      <c r="AK49" s="37" t="n">
        <f aca="false">SUM(Table1[[#This Row],[reported_1302]:[reported_1286_iso]])</f>
        <v>99.8814783179857</v>
      </c>
      <c r="AL49" s="64" t="n">
        <v>5.71248837332884</v>
      </c>
      <c r="AM49" s="64" t="n">
        <v>8.8853345276198</v>
      </c>
      <c r="AN49" s="64" t="n">
        <v>42.8659770775496</v>
      </c>
      <c r="AO49" s="64" t="n">
        <v>17.7310886608243</v>
      </c>
      <c r="AP49" s="64" t="n">
        <v>8.52350536654416</v>
      </c>
      <c r="AQ49" s="64" t="n">
        <v>1.46103224384799</v>
      </c>
      <c r="AR49" s="64" t="n">
        <v>14.702052068271</v>
      </c>
      <c r="AS49" s="64"/>
      <c r="AT49" s="64"/>
      <c r="AU49" s="64"/>
      <c r="AV49" s="64"/>
      <c r="AW49" s="64"/>
      <c r="AX49" s="64"/>
      <c r="AY49" s="64"/>
      <c r="AZ49" s="64"/>
      <c r="BA49" s="64" t="n">
        <f aca="false">AL49/SUM($AL49:$AQ49)</f>
        <v>0.0670641799885095</v>
      </c>
      <c r="BB49" s="64" t="n">
        <f aca="false">AM49/SUM($AL49:$AQ49)</f>
        <v>0.10431315305613</v>
      </c>
      <c r="BC49" s="64" t="n">
        <f aca="false">AN49/SUM($AL49:$AQ49)</f>
        <v>0.503243317839244</v>
      </c>
      <c r="BD49" s="64" t="n">
        <f aca="false">AO49/SUM($AL49:$AQ49)</f>
        <v>0.208161635285536</v>
      </c>
      <c r="BE49" s="64" t="n">
        <f aca="false">AP49/SUM($AL49:$AQ49)</f>
        <v>0.100065306163913</v>
      </c>
      <c r="BF49" s="64" t="n">
        <f aca="false">AQ49/SUM($AL49:$AQ49)</f>
        <v>0.017152407666668</v>
      </c>
      <c r="BG49" s="65" t="e">
        <f aca="false">#N/A</f>
        <v>#N/A</v>
      </c>
      <c r="BH49" s="37" t="s">
        <v>393</v>
      </c>
      <c r="BI49" s="37" t="s">
        <v>463</v>
      </c>
      <c r="BJ49" s="37" t="s">
        <v>492</v>
      </c>
      <c r="BK49" s="40" t="s">
        <v>4</v>
      </c>
      <c r="BL49" s="37" t="s">
        <v>527</v>
      </c>
      <c r="BM49" s="37" t="s">
        <v>397</v>
      </c>
      <c r="BN49" s="37" t="s">
        <v>397</v>
      </c>
      <c r="BO49" s="37" t="s">
        <v>465</v>
      </c>
      <c r="BP49" s="37" t="s">
        <v>397</v>
      </c>
      <c r="BQ49" s="37" t="s">
        <v>399</v>
      </c>
      <c r="BR49" s="37" t="s">
        <v>400</v>
      </c>
      <c r="BS49" s="37" t="s">
        <v>405</v>
      </c>
      <c r="BT49" s="37" t="s">
        <v>103</v>
      </c>
      <c r="BU49" s="37" t="s">
        <v>466</v>
      </c>
      <c r="BV49" s="37" t="s">
        <v>104</v>
      </c>
      <c r="BW49" s="37" t="s">
        <v>402</v>
      </c>
    </row>
    <row r="50" customFormat="false" ht="14.9" hidden="false" customHeight="false" outlineLevel="0" collapsed="false">
      <c r="A50" s="37" t="s">
        <v>534</v>
      </c>
      <c r="B50" s="62" t="s">
        <v>139</v>
      </c>
      <c r="C50" s="37" t="s">
        <v>138</v>
      </c>
      <c r="D50" s="37" t="n">
        <f aca="false">INDEX(Strain_IDs!C:C,MATCH(Table1[[#This Row],[Strains]],Strain_IDs!D:D,0))</f>
        <v>7.1</v>
      </c>
      <c r="E50" s="37" t="s">
        <v>382</v>
      </c>
      <c r="F50" s="37" t="s">
        <v>20</v>
      </c>
      <c r="G50" s="37" t="s">
        <v>21</v>
      </c>
      <c r="H50" s="37" t="s">
        <v>27</v>
      </c>
      <c r="I50" s="37" t="s">
        <v>455</v>
      </c>
      <c r="J50" s="37"/>
      <c r="K50" s="37" t="s">
        <v>384</v>
      </c>
      <c r="L50" s="37" t="s">
        <v>20</v>
      </c>
      <c r="M50" s="37" t="s">
        <v>385</v>
      </c>
      <c r="N50" s="37" t="s">
        <v>27</v>
      </c>
      <c r="O50" s="40" t="s">
        <v>455</v>
      </c>
      <c r="P50" s="40"/>
      <c r="Q50" s="37" t="s">
        <v>456</v>
      </c>
      <c r="R50" s="37" t="s">
        <v>62</v>
      </c>
      <c r="S50" s="37" t="s">
        <v>63</v>
      </c>
      <c r="T50" s="37" t="s">
        <v>457</v>
      </c>
      <c r="U50" s="37" t="s">
        <v>458</v>
      </c>
      <c r="V50" s="37" t="s">
        <v>459</v>
      </c>
      <c r="W50" s="37" t="s">
        <v>535</v>
      </c>
      <c r="X50" s="37" t="n">
        <v>28</v>
      </c>
      <c r="Y50" s="37"/>
      <c r="Z50" s="37" t="n">
        <v>7.5</v>
      </c>
      <c r="AA50" s="37"/>
      <c r="AB50" s="37"/>
      <c r="AC50" s="37"/>
      <c r="AD50" s="37"/>
      <c r="AE50" s="37"/>
      <c r="AF50" s="37" t="s">
        <v>389</v>
      </c>
      <c r="AG50" s="62" t="s">
        <v>390</v>
      </c>
      <c r="AH50" s="63" t="s">
        <v>438</v>
      </c>
      <c r="AI50" s="62"/>
      <c r="AJ50" s="37" t="s">
        <v>491</v>
      </c>
      <c r="AK50" s="37" t="n">
        <f aca="false">SUM(Table1[[#This Row],[reported_1302]:[reported_1286_iso]])</f>
        <v>99.9713878495569</v>
      </c>
      <c r="AL50" s="64" t="n">
        <v>15.9530645092725</v>
      </c>
      <c r="AM50" s="64" t="n">
        <v>18.2243489884471</v>
      </c>
      <c r="AN50" s="64" t="n">
        <v>35.1010492141478</v>
      </c>
      <c r="AO50" s="64" t="n">
        <v>11.9750907790281</v>
      </c>
      <c r="AP50" s="64" t="n">
        <v>9.59443586354036</v>
      </c>
      <c r="AQ50" s="64" t="n">
        <v>0.480775973103059</v>
      </c>
      <c r="AR50" s="64" t="n">
        <v>8.64262252201794</v>
      </c>
      <c r="AS50" s="64"/>
      <c r="AT50" s="64"/>
      <c r="AU50" s="64"/>
      <c r="AV50" s="64"/>
      <c r="AW50" s="64"/>
      <c r="AX50" s="64"/>
      <c r="AY50" s="64"/>
      <c r="AZ50" s="64"/>
      <c r="BA50" s="64" t="n">
        <f aca="false">AL50/SUM($AL50:$AQ50)</f>
        <v>0.174677325944995</v>
      </c>
      <c r="BB50" s="64" t="n">
        <f aca="false">AM50/SUM($AL50:$AQ50)</f>
        <v>0.19954664801487</v>
      </c>
      <c r="BC50" s="64" t="n">
        <f aca="false">AN50/SUM($AL50:$AQ50)</f>
        <v>0.384337279588335</v>
      </c>
      <c r="BD50" s="64" t="n">
        <f aca="false">AO50/SUM($AL50:$AQ50)</f>
        <v>0.131120690574114</v>
      </c>
      <c r="BE50" s="64" t="n">
        <f aca="false">AP50/SUM($AL50:$AQ50)</f>
        <v>0.105053822080383</v>
      </c>
      <c r="BF50" s="64" t="n">
        <f aca="false">AQ50/SUM($AL50:$AQ50)</f>
        <v>0.00526423379730162</v>
      </c>
      <c r="BG50" s="65" t="e">
        <f aca="false">#N/A</f>
        <v>#N/A</v>
      </c>
      <c r="BH50" s="37" t="s">
        <v>393</v>
      </c>
      <c r="BI50" s="37" t="s">
        <v>463</v>
      </c>
      <c r="BJ50" s="37" t="s">
        <v>492</v>
      </c>
      <c r="BK50" s="40" t="s">
        <v>4</v>
      </c>
      <c r="BL50" s="37" t="s">
        <v>527</v>
      </c>
      <c r="BM50" s="37" t="s">
        <v>397</v>
      </c>
      <c r="BN50" s="37" t="s">
        <v>397</v>
      </c>
      <c r="BO50" s="37" t="s">
        <v>465</v>
      </c>
      <c r="BP50" s="37" t="s">
        <v>397</v>
      </c>
      <c r="BQ50" s="37" t="s">
        <v>399</v>
      </c>
      <c r="BR50" s="37" t="s">
        <v>400</v>
      </c>
      <c r="BS50" s="37" t="s">
        <v>405</v>
      </c>
      <c r="BT50" s="37" t="s">
        <v>103</v>
      </c>
      <c r="BU50" s="37" t="s">
        <v>466</v>
      </c>
      <c r="BV50" s="37" t="s">
        <v>104</v>
      </c>
      <c r="BW50" s="37" t="s">
        <v>402</v>
      </c>
    </row>
    <row r="51" customFormat="false" ht="14.9" hidden="false" customHeight="false" outlineLevel="0" collapsed="false">
      <c r="A51" s="37" t="s">
        <v>536</v>
      </c>
      <c r="B51" s="62" t="s">
        <v>204</v>
      </c>
      <c r="C51" s="37" t="s">
        <v>203</v>
      </c>
      <c r="D51" s="37" t="n">
        <f aca="false">INDEX(Strain_IDs!C:C,MATCH(Table1[[#This Row],[Strains]],Strain_IDs!D:D,0))</f>
        <v>15</v>
      </c>
      <c r="E51" s="37" t="s">
        <v>382</v>
      </c>
      <c r="F51" s="37" t="s">
        <v>20</v>
      </c>
      <c r="G51" s="37" t="s">
        <v>21</v>
      </c>
      <c r="H51" s="37" t="s">
        <v>28</v>
      </c>
      <c r="I51" s="37" t="s">
        <v>520</v>
      </c>
      <c r="J51" s="37"/>
      <c r="K51" s="37" t="s">
        <v>384</v>
      </c>
      <c r="L51" s="37" t="s">
        <v>20</v>
      </c>
      <c r="M51" s="37" t="s">
        <v>21</v>
      </c>
      <c r="N51" s="37" t="s">
        <v>28</v>
      </c>
      <c r="O51" s="37" t="s">
        <v>520</v>
      </c>
      <c r="P51" s="37"/>
      <c r="Q51" s="37" t="s">
        <v>386</v>
      </c>
      <c r="R51" s="37" t="s">
        <v>207</v>
      </c>
      <c r="S51" s="37" t="s">
        <v>208</v>
      </c>
      <c r="T51" s="37" t="s">
        <v>387</v>
      </c>
      <c r="U51" s="37"/>
      <c r="V51" s="37"/>
      <c r="W51" s="37" t="s">
        <v>537</v>
      </c>
      <c r="X51" s="37" t="n">
        <v>46</v>
      </c>
      <c r="Y51" s="37"/>
      <c r="Z51" s="37" t="n">
        <v>7.8</v>
      </c>
      <c r="AA51" s="37"/>
      <c r="AB51" s="37"/>
      <c r="AC51" s="37"/>
      <c r="AD51" s="37"/>
      <c r="AE51" s="37" t="s">
        <v>522</v>
      </c>
      <c r="AF51" s="37" t="s">
        <v>389</v>
      </c>
      <c r="AG51" s="62" t="s">
        <v>390</v>
      </c>
      <c r="AH51" s="63" t="s">
        <v>438</v>
      </c>
      <c r="AI51" s="62"/>
      <c r="AJ51" s="37" t="s">
        <v>491</v>
      </c>
      <c r="AK51" s="37" t="n">
        <f aca="false">SUM(Table1[[#This Row],[reported_1302]:[reported_1286_iso]])</f>
        <v>97.6565849631628</v>
      </c>
      <c r="AL51" s="64" t="n">
        <v>1.740036068514</v>
      </c>
      <c r="AM51" s="64" t="n">
        <v>1.51144559681054</v>
      </c>
      <c r="AN51" s="64" t="n">
        <v>1.65522737678659</v>
      </c>
      <c r="AO51" s="64" t="n">
        <v>1.45360610411551</v>
      </c>
      <c r="AP51" s="64" t="n">
        <v>69.3488374272237</v>
      </c>
      <c r="AQ51" s="64" t="n">
        <v>1.47651038672734</v>
      </c>
      <c r="AR51" s="64" t="n">
        <v>20.4709220029851</v>
      </c>
      <c r="AS51" s="64"/>
      <c r="AT51" s="64"/>
      <c r="AU51" s="64"/>
      <c r="AV51" s="64"/>
      <c r="AW51" s="64"/>
      <c r="AX51" s="64"/>
      <c r="AY51" s="64"/>
      <c r="AZ51" s="64"/>
      <c r="BA51" s="64" t="n">
        <f aca="false">AL51/SUM($AL51:$AQ51)</f>
        <v>0.0225435139348578</v>
      </c>
      <c r="BB51" s="64" t="n">
        <f aca="false">AM51/SUM($AL51:$AQ51)</f>
        <v>0.0195819474607653</v>
      </c>
      <c r="BC51" s="64" t="n">
        <f aca="false">AN51/SUM($AL51:$AQ51)</f>
        <v>0.0214447516974826</v>
      </c>
      <c r="BD51" s="64" t="n">
        <f aca="false">AO51/SUM($AL51:$AQ51)</f>
        <v>0.0188325920691446</v>
      </c>
      <c r="BE51" s="64" t="n">
        <f aca="false">AP51/SUM($AL51:$AQ51)</f>
        <v>0.898467860061042</v>
      </c>
      <c r="BF51" s="64" t="n">
        <f aca="false">AQ51/SUM($AL51:$AQ51)</f>
        <v>0.0191293347767074</v>
      </c>
      <c r="BG51" s="65" t="e">
        <f aca="false">#N/A</f>
        <v>#N/A</v>
      </c>
      <c r="BH51" s="37" t="s">
        <v>393</v>
      </c>
      <c r="BI51" s="37" t="s">
        <v>463</v>
      </c>
      <c r="BJ51" s="37" t="s">
        <v>492</v>
      </c>
      <c r="BK51" s="40" t="s">
        <v>4</v>
      </c>
      <c r="BL51" s="37" t="s">
        <v>527</v>
      </c>
      <c r="BM51" s="37" t="s">
        <v>397</v>
      </c>
      <c r="BN51" s="37" t="s">
        <v>397</v>
      </c>
      <c r="BO51" s="37" t="s">
        <v>465</v>
      </c>
      <c r="BP51" s="37" t="s">
        <v>397</v>
      </c>
      <c r="BQ51" s="37" t="s">
        <v>397</v>
      </c>
      <c r="BR51" s="37" t="s">
        <v>405</v>
      </c>
      <c r="BS51" s="37" t="s">
        <v>405</v>
      </c>
      <c r="BT51" s="37" t="s">
        <v>103</v>
      </c>
      <c r="BU51" s="37" t="s">
        <v>466</v>
      </c>
      <c r="BV51" s="37" t="s">
        <v>104</v>
      </c>
      <c r="BW51" s="37" t="s">
        <v>402</v>
      </c>
    </row>
    <row r="52" customFormat="false" ht="14.9" hidden="false" customHeight="false" outlineLevel="0" collapsed="false">
      <c r="A52" s="37" t="s">
        <v>538</v>
      </c>
      <c r="B52" s="62" t="s">
        <v>96</v>
      </c>
      <c r="C52" s="37" t="s">
        <v>95</v>
      </c>
      <c r="D52" s="37" t="n">
        <f aca="false">INDEX(Strain_IDs!C:C,MATCH(Table1[[#This Row],[Strains]],Strain_IDs!D:D,0))</f>
        <v>5</v>
      </c>
      <c r="E52" s="37" t="s">
        <v>382</v>
      </c>
      <c r="F52" s="37" t="s">
        <v>20</v>
      </c>
      <c r="G52" s="37" t="s">
        <v>21</v>
      </c>
      <c r="H52" s="37" t="s">
        <v>27</v>
      </c>
      <c r="I52" s="37" t="s">
        <v>455</v>
      </c>
      <c r="J52" s="37" t="s">
        <v>487</v>
      </c>
      <c r="K52" s="37" t="s">
        <v>384</v>
      </c>
      <c r="L52" s="37" t="s">
        <v>20</v>
      </c>
      <c r="M52" s="37" t="s">
        <v>385</v>
      </c>
      <c r="N52" s="37" t="s">
        <v>27</v>
      </c>
      <c r="O52" s="40" t="s">
        <v>455</v>
      </c>
      <c r="P52" s="37" t="s">
        <v>487</v>
      </c>
      <c r="Q52" s="37" t="s">
        <v>456</v>
      </c>
      <c r="R52" s="37" t="s">
        <v>62</v>
      </c>
      <c r="S52" s="37" t="s">
        <v>63</v>
      </c>
      <c r="T52" s="37" t="s">
        <v>387</v>
      </c>
      <c r="U52" s="37" t="s">
        <v>488</v>
      </c>
      <c r="V52" s="37" t="s">
        <v>489</v>
      </c>
      <c r="W52" s="37" t="s">
        <v>539</v>
      </c>
      <c r="X52" s="37" t="n">
        <v>30</v>
      </c>
      <c r="Y52" s="37"/>
      <c r="Z52" s="37" t="n">
        <v>7.2</v>
      </c>
      <c r="AA52" s="37"/>
      <c r="AB52" s="37"/>
      <c r="AC52" s="37"/>
      <c r="AD52" s="37"/>
      <c r="AE52" s="37"/>
      <c r="AF52" s="37" t="s">
        <v>389</v>
      </c>
      <c r="AG52" s="62" t="s">
        <v>446</v>
      </c>
      <c r="AH52" s="63" t="s">
        <v>540</v>
      </c>
      <c r="AI52" s="62"/>
      <c r="AJ52" s="37" t="s">
        <v>462</v>
      </c>
      <c r="AK52" s="37" t="n">
        <f aca="false">SUM(Table1[[#This Row],[reported_1302]:[reported_1286_iso]])</f>
        <v>67.6470884185261</v>
      </c>
      <c r="AL52" s="64" t="n">
        <v>11.1934681427469</v>
      </c>
      <c r="AM52" s="64" t="n">
        <v>5.5869736662646</v>
      </c>
      <c r="AN52" s="64" t="n">
        <v>7.20902529491338</v>
      </c>
      <c r="AO52" s="64" t="n">
        <v>10.3353490711655</v>
      </c>
      <c r="AP52" s="64" t="n">
        <v>21.2734200502151</v>
      </c>
      <c r="AQ52" s="64" t="n">
        <v>2.33301887781494</v>
      </c>
      <c r="AR52" s="64" t="n">
        <v>9.71583331540568</v>
      </c>
      <c r="AS52" s="64"/>
      <c r="AT52" s="64"/>
      <c r="AU52" s="64"/>
      <c r="AV52" s="64"/>
      <c r="AW52" s="64"/>
      <c r="AX52" s="64"/>
      <c r="AY52" s="64"/>
      <c r="AZ52" s="64"/>
      <c r="BA52" s="64" t="n">
        <f aca="false">AL52/SUM($AL52:$AQ52)</f>
        <v>0.193219845191028</v>
      </c>
      <c r="BB52" s="64" t="n">
        <f aca="false">AM52/SUM($AL52:$AQ52)</f>
        <v>0.0964414400537243</v>
      </c>
      <c r="BC52" s="64" t="n">
        <f aca="false">AN52/SUM($AL52:$AQ52)</f>
        <v>0.124441034154723</v>
      </c>
      <c r="BD52" s="64" t="n">
        <f aca="false">AO52/SUM($AL52:$AQ52)</f>
        <v>0.178407131914682</v>
      </c>
      <c r="BE52" s="64" t="n">
        <f aca="false">AP52/SUM($AL52:$AQ52)</f>
        <v>0.367218352378995</v>
      </c>
      <c r="BF52" s="64" t="n">
        <f aca="false">AQ52/SUM($AL52:$AQ52)</f>
        <v>0.0402721963068477</v>
      </c>
      <c r="BG52" s="65" t="e">
        <f aca="false">#N/A</f>
        <v>#N/A</v>
      </c>
      <c r="BH52" s="37" t="s">
        <v>393</v>
      </c>
      <c r="BI52" s="37" t="s">
        <v>463</v>
      </c>
      <c r="BJ52" s="37" t="s">
        <v>492</v>
      </c>
      <c r="BK52" s="40" t="s">
        <v>4</v>
      </c>
      <c r="BL52" s="37" t="s">
        <v>493</v>
      </c>
      <c r="BM52" s="37" t="s">
        <v>397</v>
      </c>
      <c r="BN52" s="37" t="s">
        <v>397</v>
      </c>
      <c r="BO52" s="37" t="s">
        <v>465</v>
      </c>
      <c r="BP52" s="37" t="s">
        <v>397</v>
      </c>
      <c r="BQ52" s="37" t="s">
        <v>397</v>
      </c>
      <c r="BR52" s="37" t="s">
        <v>405</v>
      </c>
      <c r="BS52" s="37" t="s">
        <v>405</v>
      </c>
      <c r="BT52" s="37" t="s">
        <v>103</v>
      </c>
      <c r="BU52" s="37" t="s">
        <v>466</v>
      </c>
      <c r="BV52" s="37" t="s">
        <v>104</v>
      </c>
      <c r="BW52" s="37" t="s">
        <v>402</v>
      </c>
    </row>
    <row r="53" customFormat="false" ht="14.9" hidden="false" customHeight="false" outlineLevel="0" collapsed="false">
      <c r="A53" s="37" t="s">
        <v>541</v>
      </c>
      <c r="B53" s="62" t="s">
        <v>130</v>
      </c>
      <c r="C53" s="37" t="s">
        <v>129</v>
      </c>
      <c r="D53" s="37" t="n">
        <f aca="false">INDEX(Strain_IDs!C:C,MATCH(Table1[[#This Row],[Strains]],Strain_IDs!D:D,0))</f>
        <v>7</v>
      </c>
      <c r="E53" s="37" t="s">
        <v>382</v>
      </c>
      <c r="F53" s="37" t="s">
        <v>20</v>
      </c>
      <c r="G53" s="37" t="s">
        <v>21</v>
      </c>
      <c r="H53" s="37" t="s">
        <v>27</v>
      </c>
      <c r="I53" s="37" t="s">
        <v>455</v>
      </c>
      <c r="J53" s="37" t="s">
        <v>480</v>
      </c>
      <c r="K53" s="37" t="s">
        <v>384</v>
      </c>
      <c r="L53" s="37" t="s">
        <v>20</v>
      </c>
      <c r="M53" s="37" t="s">
        <v>385</v>
      </c>
      <c r="N53" s="37" t="s">
        <v>27</v>
      </c>
      <c r="O53" s="40" t="s">
        <v>455</v>
      </c>
      <c r="P53" s="40" t="s">
        <v>480</v>
      </c>
      <c r="Q53" s="37" t="s">
        <v>456</v>
      </c>
      <c r="R53" s="37" t="s">
        <v>62</v>
      </c>
      <c r="S53" s="37" t="s">
        <v>63</v>
      </c>
      <c r="T53" s="37" t="s">
        <v>387</v>
      </c>
      <c r="U53" s="37" t="s">
        <v>133</v>
      </c>
      <c r="V53" s="37" t="s">
        <v>134</v>
      </c>
      <c r="W53" s="37" t="s">
        <v>542</v>
      </c>
      <c r="X53" s="37" t="n">
        <v>28</v>
      </c>
      <c r="Y53" s="37"/>
      <c r="Z53" s="37" t="n">
        <v>7.5</v>
      </c>
      <c r="AA53" s="37"/>
      <c r="AB53" s="37"/>
      <c r="AC53" s="37"/>
      <c r="AD53" s="37"/>
      <c r="AE53" s="37"/>
      <c r="AF53" s="37" t="s">
        <v>389</v>
      </c>
      <c r="AG53" s="62" t="s">
        <v>446</v>
      </c>
      <c r="AH53" s="63" t="s">
        <v>540</v>
      </c>
      <c r="AI53" s="62"/>
      <c r="AJ53" s="37" t="s">
        <v>462</v>
      </c>
      <c r="AK53" s="37" t="n">
        <f aca="false">SUM(Table1[[#This Row],[reported_1302]:[reported_1286_iso]])</f>
        <v>90.9415511166015</v>
      </c>
      <c r="AL53" s="64" t="n">
        <v>8.00289041732267</v>
      </c>
      <c r="AM53" s="64" t="n">
        <v>7.85348176649278</v>
      </c>
      <c r="AN53" s="64" t="n">
        <v>28.5180926519604</v>
      </c>
      <c r="AO53" s="64" t="n">
        <v>8.0193165204347</v>
      </c>
      <c r="AP53" s="64" t="n">
        <v>32.7299033907647</v>
      </c>
      <c r="AQ53" s="64" t="n">
        <v>0.647351192666829</v>
      </c>
      <c r="AR53" s="64" t="n">
        <v>5.17051517695939</v>
      </c>
      <c r="AS53" s="64"/>
      <c r="AT53" s="64"/>
      <c r="AU53" s="64"/>
      <c r="AV53" s="64"/>
      <c r="AW53" s="64"/>
      <c r="AX53" s="64"/>
      <c r="AY53" s="64"/>
      <c r="AZ53" s="64"/>
      <c r="BA53" s="64" t="n">
        <f aca="false">AL53/SUM($AL53:$AQ53)</f>
        <v>0.0933052787534755</v>
      </c>
      <c r="BB53" s="64" t="n">
        <f aca="false">AM53/SUM($AL53:$AQ53)</f>
        <v>0.091563331146185</v>
      </c>
      <c r="BC53" s="64" t="n">
        <f aca="false">AN53/SUM($AL53:$AQ53)</f>
        <v>0.332490943353288</v>
      </c>
      <c r="BD53" s="64" t="n">
        <f aca="false">AO53/SUM($AL53:$AQ53)</f>
        <v>0.0934967898263229</v>
      </c>
      <c r="BE53" s="64" t="n">
        <f aca="false">AP53/SUM($AL53:$AQ53)</f>
        <v>0.381596223389409</v>
      </c>
      <c r="BF53" s="64" t="n">
        <f aca="false">AQ53/SUM($AL53:$AQ53)</f>
        <v>0.00754743353131909</v>
      </c>
      <c r="BG53" s="65" t="e">
        <f aca="false">#N/A</f>
        <v>#N/A</v>
      </c>
      <c r="BH53" s="37" t="s">
        <v>393</v>
      </c>
      <c r="BI53" s="37" t="s">
        <v>463</v>
      </c>
      <c r="BJ53" s="37" t="s">
        <v>492</v>
      </c>
      <c r="BK53" s="40" t="s">
        <v>4</v>
      </c>
      <c r="BL53" s="37" t="s">
        <v>493</v>
      </c>
      <c r="BM53" s="37" t="s">
        <v>397</v>
      </c>
      <c r="BN53" s="37" t="s">
        <v>397</v>
      </c>
      <c r="BO53" s="37" t="s">
        <v>465</v>
      </c>
      <c r="BP53" s="37" t="s">
        <v>397</v>
      </c>
      <c r="BQ53" s="37" t="s">
        <v>399</v>
      </c>
      <c r="BR53" s="37" t="s">
        <v>400</v>
      </c>
      <c r="BS53" s="37" t="s">
        <v>405</v>
      </c>
      <c r="BT53" s="37" t="s">
        <v>103</v>
      </c>
      <c r="BU53" s="37" t="s">
        <v>466</v>
      </c>
      <c r="BV53" s="37" t="s">
        <v>104</v>
      </c>
      <c r="BW53" s="37" t="s">
        <v>402</v>
      </c>
    </row>
    <row r="54" customFormat="false" ht="14.9" hidden="false" customHeight="false" outlineLevel="0" collapsed="false">
      <c r="A54" s="37" t="s">
        <v>543</v>
      </c>
      <c r="B54" s="62" t="s">
        <v>144</v>
      </c>
      <c r="C54" s="37" t="s">
        <v>143</v>
      </c>
      <c r="D54" s="37" t="n">
        <f aca="false">INDEX(Strain_IDs!C:C,MATCH(Table1[[#This Row],[Strains]],Strain_IDs!D:D,0))</f>
        <v>8</v>
      </c>
      <c r="E54" s="37" t="s">
        <v>382</v>
      </c>
      <c r="F54" s="37" t="s">
        <v>20</v>
      </c>
      <c r="G54" s="37" t="s">
        <v>21</v>
      </c>
      <c r="H54" s="37" t="s">
        <v>27</v>
      </c>
      <c r="I54" s="37" t="s">
        <v>455</v>
      </c>
      <c r="J54" s="37" t="s">
        <v>497</v>
      </c>
      <c r="K54" s="37" t="s">
        <v>384</v>
      </c>
      <c r="L54" s="37" t="s">
        <v>20</v>
      </c>
      <c r="M54" s="37" t="s">
        <v>385</v>
      </c>
      <c r="N54" s="37" t="s">
        <v>27</v>
      </c>
      <c r="O54" s="40" t="s">
        <v>455</v>
      </c>
      <c r="P54" s="37" t="s">
        <v>497</v>
      </c>
      <c r="Q54" s="37" t="s">
        <v>456</v>
      </c>
      <c r="R54" s="37" t="s">
        <v>62</v>
      </c>
      <c r="S54" s="37" t="s">
        <v>63</v>
      </c>
      <c r="T54" s="37" t="s">
        <v>387</v>
      </c>
      <c r="U54" s="37" t="s">
        <v>488</v>
      </c>
      <c r="V54" s="37" t="s">
        <v>489</v>
      </c>
      <c r="W54" s="37" t="s">
        <v>544</v>
      </c>
      <c r="X54" s="37" t="n">
        <v>30</v>
      </c>
      <c r="Y54" s="37"/>
      <c r="Z54" s="37" t="n">
        <v>7.2</v>
      </c>
      <c r="AA54" s="37"/>
      <c r="AB54" s="37"/>
      <c r="AC54" s="37"/>
      <c r="AD54" s="37"/>
      <c r="AE54" s="37"/>
      <c r="AF54" s="37" t="s">
        <v>389</v>
      </c>
      <c r="AG54" s="62" t="s">
        <v>446</v>
      </c>
      <c r="AH54" s="63" t="s">
        <v>540</v>
      </c>
      <c r="AI54" s="62"/>
      <c r="AJ54" s="37" t="s">
        <v>462</v>
      </c>
      <c r="AK54" s="37" t="n">
        <f aca="false">SUM(Table1[[#This Row],[reported_1302]:[reported_1286_iso]])</f>
        <v>82.8297999898927</v>
      </c>
      <c r="AL54" s="64" t="n">
        <v>7.71104921632667</v>
      </c>
      <c r="AM54" s="64" t="n">
        <v>6.83330869608797</v>
      </c>
      <c r="AN54" s="64" t="n">
        <v>18.9034139296521</v>
      </c>
      <c r="AO54" s="64" t="n">
        <v>9.61727166716602</v>
      </c>
      <c r="AP54" s="64" t="n">
        <v>19.3213237470882</v>
      </c>
      <c r="AQ54" s="64" t="n">
        <v>1.69021658366129</v>
      </c>
      <c r="AR54" s="64" t="n">
        <v>18.7532161499104</v>
      </c>
      <c r="AS54" s="64"/>
      <c r="AT54" s="64"/>
      <c r="AU54" s="64"/>
      <c r="AV54" s="64"/>
      <c r="AW54" s="64"/>
      <c r="AX54" s="64"/>
      <c r="AY54" s="64"/>
      <c r="AZ54" s="64"/>
      <c r="BA54" s="64" t="n">
        <f aca="false">AL54/SUM($AL54:$AQ54)</f>
        <v>0.120341141088036</v>
      </c>
      <c r="BB54" s="64" t="n">
        <f aca="false">AM54/SUM($AL54:$AQ54)</f>
        <v>0.106642837157997</v>
      </c>
      <c r="BC54" s="64" t="n">
        <f aca="false">AN54/SUM($AL54:$AQ54)</f>
        <v>0.295012823668306</v>
      </c>
      <c r="BD54" s="64" t="n">
        <f aca="false">AO54/SUM($AL54:$AQ54)</f>
        <v>0.150090268407304</v>
      </c>
      <c r="BE54" s="64" t="n">
        <f aca="false">AP54/SUM($AL54:$AQ54)</f>
        <v>0.301534860150147</v>
      </c>
      <c r="BF54" s="64" t="n">
        <f aca="false">AQ54/SUM($AL54:$AQ54)</f>
        <v>0.026378069528211</v>
      </c>
      <c r="BG54" s="65" t="e">
        <f aca="false">#N/A</f>
        <v>#N/A</v>
      </c>
      <c r="BH54" s="37" t="s">
        <v>393</v>
      </c>
      <c r="BI54" s="37" t="s">
        <v>463</v>
      </c>
      <c r="BJ54" s="37" t="s">
        <v>492</v>
      </c>
      <c r="BK54" s="40" t="s">
        <v>4</v>
      </c>
      <c r="BL54" s="37" t="s">
        <v>493</v>
      </c>
      <c r="BM54" s="37" t="s">
        <v>397</v>
      </c>
      <c r="BN54" s="37" t="s">
        <v>397</v>
      </c>
      <c r="BO54" s="37" t="s">
        <v>465</v>
      </c>
      <c r="BP54" s="37" t="s">
        <v>397</v>
      </c>
      <c r="BQ54" s="37" t="s">
        <v>399</v>
      </c>
      <c r="BR54" s="37" t="s">
        <v>400</v>
      </c>
      <c r="BS54" s="37" t="s">
        <v>405</v>
      </c>
      <c r="BT54" s="37" t="s">
        <v>103</v>
      </c>
      <c r="BU54" s="37" t="s">
        <v>466</v>
      </c>
      <c r="BV54" s="37" t="s">
        <v>104</v>
      </c>
      <c r="BW54" s="37" t="s">
        <v>402</v>
      </c>
    </row>
    <row r="55" customFormat="false" ht="14.9" hidden="false" customHeight="false" outlineLevel="0" collapsed="false">
      <c r="A55" s="37" t="s">
        <v>545</v>
      </c>
      <c r="B55" s="62" t="s">
        <v>111</v>
      </c>
      <c r="C55" s="37" t="s">
        <v>110</v>
      </c>
      <c r="D55" s="37" t="n">
        <f aca="false">INDEX(Strain_IDs!C:C,MATCH(Table1[[#This Row],[Strains]],Strain_IDs!D:D,0))</f>
        <v>5.2</v>
      </c>
      <c r="E55" s="37" t="s">
        <v>382</v>
      </c>
      <c r="F55" s="37" t="s">
        <v>20</v>
      </c>
      <c r="G55" s="37" t="s">
        <v>21</v>
      </c>
      <c r="H55" s="37" t="s">
        <v>27</v>
      </c>
      <c r="I55" s="37" t="s">
        <v>455</v>
      </c>
      <c r="J55" s="37"/>
      <c r="K55" s="37" t="s">
        <v>384</v>
      </c>
      <c r="L55" s="37" t="s">
        <v>20</v>
      </c>
      <c r="M55" s="37" t="s">
        <v>385</v>
      </c>
      <c r="N55" s="37" t="s">
        <v>27</v>
      </c>
      <c r="O55" s="40" t="s">
        <v>455</v>
      </c>
      <c r="P55" s="40"/>
      <c r="Q55" s="37" t="s">
        <v>456</v>
      </c>
      <c r="R55" s="37" t="s">
        <v>62</v>
      </c>
      <c r="S55" s="37" t="s">
        <v>63</v>
      </c>
      <c r="T55" s="37" t="s">
        <v>457</v>
      </c>
      <c r="U55" s="37" t="s">
        <v>458</v>
      </c>
      <c r="V55" s="37" t="s">
        <v>459</v>
      </c>
      <c r="W55" s="37" t="s">
        <v>546</v>
      </c>
      <c r="X55" s="37" t="n">
        <v>28</v>
      </c>
      <c r="Y55" s="37"/>
      <c r="Z55" s="37" t="n">
        <v>7.5</v>
      </c>
      <c r="AA55" s="37"/>
      <c r="AB55" s="37"/>
      <c r="AC55" s="37"/>
      <c r="AD55" s="37"/>
      <c r="AE55" s="37"/>
      <c r="AF55" s="37" t="s">
        <v>389</v>
      </c>
      <c r="AG55" s="62" t="s">
        <v>446</v>
      </c>
      <c r="AH55" s="63" t="s">
        <v>540</v>
      </c>
      <c r="AI55" s="62"/>
      <c r="AJ55" s="37" t="s">
        <v>462</v>
      </c>
      <c r="AK55" s="37" t="n">
        <f aca="false">SUM(Table1[[#This Row],[reported_1302]:[reported_1286_iso]])</f>
        <v>78.6729468761982</v>
      </c>
      <c r="AL55" s="64" t="n">
        <v>8.3309737133752</v>
      </c>
      <c r="AM55" s="64" t="n">
        <v>5.63503144788197</v>
      </c>
      <c r="AN55" s="64" t="n">
        <v>18.3290097685506</v>
      </c>
      <c r="AO55" s="64" t="n">
        <v>16.4753277156183</v>
      </c>
      <c r="AP55" s="64" t="n">
        <v>19.05277331908</v>
      </c>
      <c r="AQ55" s="64" t="n">
        <v>1.79981704402652</v>
      </c>
      <c r="AR55" s="64" t="n">
        <v>9.05001386766558</v>
      </c>
      <c r="AS55" s="64"/>
      <c r="AT55" s="64"/>
      <c r="AU55" s="64"/>
      <c r="AV55" s="64"/>
      <c r="AW55" s="64"/>
      <c r="AX55" s="64"/>
      <c r="AY55" s="64"/>
      <c r="AZ55" s="64"/>
      <c r="BA55" s="64" t="n">
        <f aca="false">AL55/SUM($AL55:$AQ55)</f>
        <v>0.119658471043646</v>
      </c>
      <c r="BB55" s="64" t="n">
        <f aca="false">AM55/SUM($AL55:$AQ55)</f>
        <v>0.0809364271854415</v>
      </c>
      <c r="BC55" s="64" t="n">
        <f aca="false">AN55/SUM($AL55:$AQ55)</f>
        <v>0.263261097694696</v>
      </c>
      <c r="BD55" s="64" t="n">
        <f aca="false">AO55/SUM($AL55:$AQ55)</f>
        <v>0.236636507594404</v>
      </c>
      <c r="BE55" s="64" t="n">
        <f aca="false">AP55/SUM($AL55:$AQ55)</f>
        <v>0.273656574001917</v>
      </c>
      <c r="BF55" s="64" t="n">
        <f aca="false">AQ55/SUM($AL55:$AQ55)</f>
        <v>0.0258509224798953</v>
      </c>
      <c r="BG55" s="65" t="e">
        <f aca="false">#N/A</f>
        <v>#N/A</v>
      </c>
      <c r="BH55" s="37" t="s">
        <v>393</v>
      </c>
      <c r="BI55" s="37" t="s">
        <v>463</v>
      </c>
      <c r="BJ55" s="37" t="s">
        <v>492</v>
      </c>
      <c r="BK55" s="40" t="s">
        <v>4</v>
      </c>
      <c r="BL55" s="37" t="s">
        <v>493</v>
      </c>
      <c r="BM55" s="37" t="s">
        <v>397</v>
      </c>
      <c r="BN55" s="37" t="s">
        <v>397</v>
      </c>
      <c r="BO55" s="37" t="s">
        <v>465</v>
      </c>
      <c r="BP55" s="37" t="s">
        <v>397</v>
      </c>
      <c r="BQ55" s="37" t="s">
        <v>399</v>
      </c>
      <c r="BR55" s="37" t="s">
        <v>400</v>
      </c>
      <c r="BS55" s="37" t="s">
        <v>405</v>
      </c>
      <c r="BT55" s="37" t="s">
        <v>103</v>
      </c>
      <c r="BU55" s="37" t="s">
        <v>466</v>
      </c>
      <c r="BV55" s="37" t="s">
        <v>104</v>
      </c>
      <c r="BW55" s="37" t="s">
        <v>402</v>
      </c>
    </row>
    <row r="56" customFormat="false" ht="14.9" hidden="false" customHeight="false" outlineLevel="0" collapsed="false">
      <c r="A56" s="37" t="s">
        <v>547</v>
      </c>
      <c r="B56" s="62" t="s">
        <v>139</v>
      </c>
      <c r="C56" s="37" t="s">
        <v>548</v>
      </c>
      <c r="D56" s="37" t="n">
        <f aca="false">INDEX(Strain_IDs!C:C,MATCH(Table1[[#This Row],[Strains]],Strain_IDs!D:D,0))</f>
        <v>7.1</v>
      </c>
      <c r="E56" s="37" t="s">
        <v>382</v>
      </c>
      <c r="F56" s="37" t="s">
        <v>20</v>
      </c>
      <c r="G56" s="37" t="s">
        <v>21</v>
      </c>
      <c r="H56" s="37" t="s">
        <v>27</v>
      </c>
      <c r="I56" s="37" t="s">
        <v>455</v>
      </c>
      <c r="J56" s="37"/>
      <c r="K56" s="37" t="s">
        <v>384</v>
      </c>
      <c r="L56" s="37" t="s">
        <v>20</v>
      </c>
      <c r="M56" s="37" t="s">
        <v>385</v>
      </c>
      <c r="N56" s="37" t="s">
        <v>27</v>
      </c>
      <c r="O56" s="40" t="s">
        <v>455</v>
      </c>
      <c r="P56" s="40"/>
      <c r="Q56" s="37" t="s">
        <v>456</v>
      </c>
      <c r="R56" s="37" t="s">
        <v>62</v>
      </c>
      <c r="S56" s="37" t="s">
        <v>63</v>
      </c>
      <c r="T56" s="37" t="s">
        <v>457</v>
      </c>
      <c r="U56" s="37" t="s">
        <v>458</v>
      </c>
      <c r="V56" s="37" t="s">
        <v>459</v>
      </c>
      <c r="W56" s="37" t="s">
        <v>549</v>
      </c>
      <c r="X56" s="37" t="n">
        <v>28</v>
      </c>
      <c r="Y56" s="37"/>
      <c r="Z56" s="37" t="n">
        <v>7.5</v>
      </c>
      <c r="AA56" s="37"/>
      <c r="AB56" s="37"/>
      <c r="AC56" s="37"/>
      <c r="AD56" s="37"/>
      <c r="AE56" s="37"/>
      <c r="AF56" s="37" t="s">
        <v>389</v>
      </c>
      <c r="AG56" s="62" t="s">
        <v>446</v>
      </c>
      <c r="AH56" s="63" t="s">
        <v>540</v>
      </c>
      <c r="AI56" s="62"/>
      <c r="AJ56" s="37" t="s">
        <v>462</v>
      </c>
      <c r="AK56" s="37" t="n">
        <f aca="false">SUM(Table1[[#This Row],[reported_1302]:[reported_1286_iso]])</f>
        <v>84.8772228065487</v>
      </c>
      <c r="AL56" s="64" t="n">
        <v>10.8214535020481</v>
      </c>
      <c r="AM56" s="64" t="n">
        <v>8.36065258280907</v>
      </c>
      <c r="AN56" s="64" t="n">
        <v>19.025379805967</v>
      </c>
      <c r="AO56" s="64" t="n">
        <v>18.0441974139864</v>
      </c>
      <c r="AP56" s="64" t="n">
        <v>19.3883281223896</v>
      </c>
      <c r="AQ56" s="64" t="n">
        <v>1.18793252997312</v>
      </c>
      <c r="AR56" s="64" t="n">
        <v>8.04927884937543</v>
      </c>
      <c r="AS56" s="64"/>
      <c r="AT56" s="64"/>
      <c r="AU56" s="64"/>
      <c r="AV56" s="64"/>
      <c r="AW56" s="64"/>
      <c r="AX56" s="64"/>
      <c r="AY56" s="64"/>
      <c r="AZ56" s="64"/>
      <c r="BA56" s="64" t="n">
        <f aca="false">AL56/SUM($AL56:$AQ56)</f>
        <v>0.140853092568511</v>
      </c>
      <c r="BB56" s="64" t="n">
        <f aca="false">AM56/SUM($AL56:$AQ56)</f>
        <v>0.10882306817256</v>
      </c>
      <c r="BC56" s="64" t="n">
        <f aca="false">AN56/SUM($AL56:$AQ56)</f>
        <v>0.247636196233137</v>
      </c>
      <c r="BD56" s="64" t="n">
        <f aca="false">AO56/SUM($AL56:$AQ56)</f>
        <v>0.234865030672237</v>
      </c>
      <c r="BE56" s="64" t="n">
        <f aca="false">AP56/SUM($AL56:$AQ56)</f>
        <v>0.252360366863356</v>
      </c>
      <c r="BF56" s="64" t="n">
        <f aca="false">AQ56/SUM($AL56:$AQ56)</f>
        <v>0.0154622454901997</v>
      </c>
      <c r="BG56" s="65" t="e">
        <f aca="false">#N/A</f>
        <v>#N/A</v>
      </c>
      <c r="BH56" s="37" t="s">
        <v>393</v>
      </c>
      <c r="BI56" s="37" t="s">
        <v>463</v>
      </c>
      <c r="BJ56" s="37" t="s">
        <v>492</v>
      </c>
      <c r="BK56" s="40" t="s">
        <v>4</v>
      </c>
      <c r="BL56" s="37" t="s">
        <v>493</v>
      </c>
      <c r="BM56" s="37" t="s">
        <v>397</v>
      </c>
      <c r="BN56" s="37" t="s">
        <v>397</v>
      </c>
      <c r="BO56" s="37" t="s">
        <v>465</v>
      </c>
      <c r="BP56" s="37" t="s">
        <v>397</v>
      </c>
      <c r="BQ56" s="37" t="s">
        <v>399</v>
      </c>
      <c r="BR56" s="37" t="s">
        <v>400</v>
      </c>
      <c r="BS56" s="37" t="s">
        <v>405</v>
      </c>
      <c r="BT56" s="37" t="s">
        <v>103</v>
      </c>
      <c r="BU56" s="37" t="s">
        <v>466</v>
      </c>
      <c r="BV56" s="37" t="s">
        <v>104</v>
      </c>
      <c r="BW56" s="37" t="s">
        <v>402</v>
      </c>
    </row>
    <row r="57" customFormat="false" ht="14.9" hidden="false" customHeight="false" outlineLevel="0" collapsed="false">
      <c r="A57" s="37" t="s">
        <v>550</v>
      </c>
      <c r="B57" s="62" t="s">
        <v>304</v>
      </c>
      <c r="C57" s="37" t="s">
        <v>303</v>
      </c>
      <c r="D57" s="37" t="n">
        <f aca="false">INDEX(Strain_IDs!C:C,MATCH(Table1[[#This Row],[Strains]],Strain_IDs!D:D,0))</f>
        <v>25.1</v>
      </c>
      <c r="E57" s="37" t="s">
        <v>382</v>
      </c>
      <c r="F57" s="37" t="s">
        <v>20</v>
      </c>
      <c r="G57" s="37" t="s">
        <v>21</v>
      </c>
      <c r="H57" s="37" t="s">
        <v>514</v>
      </c>
      <c r="I57" s="37" t="s">
        <v>515</v>
      </c>
      <c r="J57" s="37"/>
      <c r="K57" s="37" t="s">
        <v>384</v>
      </c>
      <c r="L57" s="37" t="s">
        <v>20</v>
      </c>
      <c r="M57" s="37" t="s">
        <v>516</v>
      </c>
      <c r="N57" s="37" t="s">
        <v>36</v>
      </c>
      <c r="O57" s="37" t="s">
        <v>517</v>
      </c>
      <c r="P57" s="37"/>
      <c r="Q57" s="37" t="s">
        <v>386</v>
      </c>
      <c r="R57" s="37" t="s">
        <v>305</v>
      </c>
      <c r="S57" s="37" t="s">
        <v>306</v>
      </c>
      <c r="T57" s="37" t="s">
        <v>457</v>
      </c>
      <c r="U57" s="37"/>
      <c r="V57" s="37"/>
      <c r="W57" s="37" t="s">
        <v>551</v>
      </c>
      <c r="X57" s="37" t="n">
        <v>72</v>
      </c>
      <c r="Y57" s="37"/>
      <c r="Z57" s="37" t="n">
        <v>7</v>
      </c>
      <c r="AA57" s="37"/>
      <c r="AB57" s="37"/>
      <c r="AC57" s="37"/>
      <c r="AD57" s="37"/>
      <c r="AE57" s="37"/>
      <c r="AF57" s="37" t="s">
        <v>389</v>
      </c>
      <c r="AG57" s="62" t="s">
        <v>446</v>
      </c>
      <c r="AH57" s="63" t="s">
        <v>540</v>
      </c>
      <c r="AI57" s="62"/>
      <c r="AJ57" s="37" t="s">
        <v>462</v>
      </c>
      <c r="AK57" s="37" t="n">
        <f aca="false">SUM(Table1[[#This Row],[reported_1302]:[reported_1286_iso]])</f>
        <v>18.779393996794</v>
      </c>
      <c r="AL57" s="64" t="n">
        <v>3.03620282220942</v>
      </c>
      <c r="AM57" s="64" t="n">
        <v>0.931464464588866</v>
      </c>
      <c r="AN57" s="64" t="n">
        <v>0.388892306515647</v>
      </c>
      <c r="AO57" s="64" t="n">
        <v>0.206227154911585</v>
      </c>
      <c r="AP57" s="64" t="n">
        <v>12.8446284452577</v>
      </c>
      <c r="AQ57" s="64" t="n">
        <v>0.879579105586369</v>
      </c>
      <c r="AR57" s="64" t="n">
        <v>0.492399697724408</v>
      </c>
      <c r="AS57" s="64"/>
      <c r="AT57" s="64"/>
      <c r="AU57" s="64"/>
      <c r="AV57" s="64"/>
      <c r="AW57" s="64"/>
      <c r="AX57" s="64"/>
      <c r="AY57" s="64"/>
      <c r="AZ57" s="64"/>
      <c r="BA57" s="64" t="n">
        <f aca="false">AL57/SUM($AL57:$AQ57)</f>
        <v>0.166030719567944</v>
      </c>
      <c r="BB57" s="64" t="n">
        <f aca="false">AM57/SUM($AL57:$AQ57)</f>
        <v>0.0509358973571867</v>
      </c>
      <c r="BC57" s="64" t="n">
        <f aca="false">AN57/SUM($AL57:$AQ57)</f>
        <v>0.0212660593728863</v>
      </c>
      <c r="BD57" s="64" t="n">
        <f aca="false">AO57/SUM($AL57:$AQ57)</f>
        <v>0.0112772581179225</v>
      </c>
      <c r="BE57" s="64" t="n">
        <f aca="false">AP57/SUM($AL57:$AQ57)</f>
        <v>0.702391450185513</v>
      </c>
      <c r="BF57" s="64" t="n">
        <f aca="false">AQ57/SUM($AL57:$AQ57)</f>
        <v>0.048098615398547</v>
      </c>
      <c r="BG57" s="65" t="e">
        <f aca="false">#N/A</f>
        <v>#N/A</v>
      </c>
      <c r="BH57" s="37" t="s">
        <v>393</v>
      </c>
      <c r="BI57" s="37" t="s">
        <v>394</v>
      </c>
      <c r="BJ57" s="37" t="s">
        <v>492</v>
      </c>
      <c r="BK57" s="40" t="s">
        <v>4</v>
      </c>
      <c r="BL57" s="37" t="s">
        <v>493</v>
      </c>
      <c r="BM57" s="37" t="s">
        <v>397</v>
      </c>
      <c r="BN57" s="37" t="s">
        <v>397</v>
      </c>
      <c r="BO57" s="37" t="s">
        <v>465</v>
      </c>
      <c r="BP57" s="37" t="s">
        <v>397</v>
      </c>
      <c r="BQ57" s="37" t="s">
        <v>397</v>
      </c>
      <c r="BR57" s="37" t="s">
        <v>405</v>
      </c>
      <c r="BS57" s="37" t="s">
        <v>405</v>
      </c>
      <c r="BT57" s="37" t="s">
        <v>103</v>
      </c>
      <c r="BU57" s="37" t="s">
        <v>466</v>
      </c>
      <c r="BV57" s="37" t="s">
        <v>104</v>
      </c>
      <c r="BW57" s="37" t="s">
        <v>402</v>
      </c>
    </row>
    <row r="58" customFormat="false" ht="14.9" hidden="false" customHeight="false" outlineLevel="0" collapsed="false">
      <c r="A58" s="37" t="s">
        <v>552</v>
      </c>
      <c r="B58" s="62" t="s">
        <v>204</v>
      </c>
      <c r="C58" s="37" t="s">
        <v>203</v>
      </c>
      <c r="D58" s="37" t="n">
        <f aca="false">INDEX(Strain_IDs!C:C,MATCH(Table1[[#This Row],[Strains]],Strain_IDs!D:D,0))</f>
        <v>15</v>
      </c>
      <c r="E58" s="37" t="s">
        <v>382</v>
      </c>
      <c r="F58" s="37" t="s">
        <v>20</v>
      </c>
      <c r="G58" s="37" t="s">
        <v>21</v>
      </c>
      <c r="H58" s="37" t="s">
        <v>28</v>
      </c>
      <c r="I58" s="37" t="s">
        <v>520</v>
      </c>
      <c r="J58" s="37"/>
      <c r="K58" s="37" t="s">
        <v>384</v>
      </c>
      <c r="L58" s="37" t="s">
        <v>20</v>
      </c>
      <c r="M58" s="37" t="s">
        <v>21</v>
      </c>
      <c r="N58" s="37" t="s">
        <v>28</v>
      </c>
      <c r="O58" s="37" t="s">
        <v>520</v>
      </c>
      <c r="P58" s="37"/>
      <c r="Q58" s="37" t="s">
        <v>386</v>
      </c>
      <c r="R58" s="37" t="s">
        <v>207</v>
      </c>
      <c r="S58" s="37" t="s">
        <v>208</v>
      </c>
      <c r="T58" s="37" t="s">
        <v>387</v>
      </c>
      <c r="U58" s="37"/>
      <c r="V58" s="37"/>
      <c r="W58" s="37" t="s">
        <v>553</v>
      </c>
      <c r="X58" s="37" t="n">
        <v>35</v>
      </c>
      <c r="Y58" s="37"/>
      <c r="Z58" s="37" t="n">
        <v>7.8</v>
      </c>
      <c r="AA58" s="37"/>
      <c r="AB58" s="37"/>
      <c r="AC58" s="37"/>
      <c r="AD58" s="37"/>
      <c r="AE58" s="37" t="s">
        <v>522</v>
      </c>
      <c r="AF58" s="37" t="s">
        <v>389</v>
      </c>
      <c r="AG58" s="62" t="s">
        <v>446</v>
      </c>
      <c r="AH58" s="63" t="s">
        <v>540</v>
      </c>
      <c r="AI58" s="62"/>
      <c r="AJ58" s="37" t="s">
        <v>462</v>
      </c>
      <c r="AK58" s="37" t="n">
        <f aca="false">SUM(Table1[[#This Row],[reported_1302]:[reported_1286_iso]])</f>
        <v>89.2759757112721</v>
      </c>
      <c r="AL58" s="64" t="n">
        <v>2.7378983060648</v>
      </c>
      <c r="AM58" s="64" t="n">
        <v>2.90178233001407</v>
      </c>
      <c r="AN58" s="64" t="n">
        <v>3.4370446629403</v>
      </c>
      <c r="AO58" s="64" t="n">
        <v>3.78584670100164</v>
      </c>
      <c r="AP58" s="64" t="n">
        <v>45.1170017935372</v>
      </c>
      <c r="AQ58" s="64" t="n">
        <v>26.4104190822172</v>
      </c>
      <c r="AR58" s="64" t="n">
        <v>4.88598283549691</v>
      </c>
      <c r="AS58" s="64"/>
      <c r="AT58" s="64"/>
      <c r="AU58" s="64"/>
      <c r="AV58" s="64"/>
      <c r="AW58" s="64"/>
      <c r="AX58" s="64"/>
      <c r="AY58" s="64"/>
      <c r="AZ58" s="64"/>
      <c r="BA58" s="64" t="n">
        <f aca="false">AL58/SUM($AL58:$AQ58)</f>
        <v>0.0324434001327038</v>
      </c>
      <c r="BB58" s="64" t="n">
        <f aca="false">AM58/SUM($AL58:$AQ58)</f>
        <v>0.0343853842277909</v>
      </c>
      <c r="BC58" s="64" t="n">
        <f aca="false">AN58/SUM($AL58:$AQ58)</f>
        <v>0.0407281070398921</v>
      </c>
      <c r="BD58" s="64" t="n">
        <f aca="false">AO58/SUM($AL58:$AQ58)</f>
        <v>0.0448613226757174</v>
      </c>
      <c r="BE58" s="64" t="n">
        <f aca="false">AP58/SUM($AL58:$AQ58)</f>
        <v>0.534625021949592</v>
      </c>
      <c r="BF58" s="64" t="n">
        <f aca="false">AQ58/SUM($AL58:$AQ58)</f>
        <v>0.312956763974304</v>
      </c>
      <c r="BG58" s="65" t="e">
        <f aca="false">#N/A</f>
        <v>#N/A</v>
      </c>
      <c r="BH58" s="37" t="s">
        <v>393</v>
      </c>
      <c r="BI58" s="37" t="s">
        <v>394</v>
      </c>
      <c r="BJ58" s="37" t="s">
        <v>492</v>
      </c>
      <c r="BK58" s="40" t="s">
        <v>4</v>
      </c>
      <c r="BL58" s="37" t="s">
        <v>493</v>
      </c>
      <c r="BM58" s="37" t="s">
        <v>397</v>
      </c>
      <c r="BN58" s="37" t="s">
        <v>397</v>
      </c>
      <c r="BO58" s="37" t="s">
        <v>465</v>
      </c>
      <c r="BP58" s="37" t="s">
        <v>397</v>
      </c>
      <c r="BQ58" s="37" t="s">
        <v>397</v>
      </c>
      <c r="BR58" s="37" t="s">
        <v>405</v>
      </c>
      <c r="BS58" s="37" t="s">
        <v>405</v>
      </c>
      <c r="BT58" s="37" t="s">
        <v>103</v>
      </c>
      <c r="BU58" s="37" t="s">
        <v>466</v>
      </c>
      <c r="BV58" s="37" t="s">
        <v>104</v>
      </c>
      <c r="BW58" s="37" t="s">
        <v>402</v>
      </c>
    </row>
    <row r="59" customFormat="false" ht="14.9" hidden="false" customHeight="false" outlineLevel="0" collapsed="false">
      <c r="A59" s="37" t="s">
        <v>554</v>
      </c>
      <c r="B59" s="62" t="s">
        <v>204</v>
      </c>
      <c r="C59" s="37" t="s">
        <v>203</v>
      </c>
      <c r="D59" s="37" t="n">
        <f aca="false">INDEX(Strain_IDs!C:C,MATCH(Table1[[#This Row],[Strains]],Strain_IDs!D:D,0))</f>
        <v>15</v>
      </c>
      <c r="E59" s="37" t="s">
        <v>382</v>
      </c>
      <c r="F59" s="37" t="s">
        <v>20</v>
      </c>
      <c r="G59" s="37" t="s">
        <v>21</v>
      </c>
      <c r="H59" s="37" t="s">
        <v>28</v>
      </c>
      <c r="I59" s="37" t="s">
        <v>520</v>
      </c>
      <c r="J59" s="37"/>
      <c r="K59" s="37" t="s">
        <v>384</v>
      </c>
      <c r="L59" s="37" t="s">
        <v>20</v>
      </c>
      <c r="M59" s="37" t="s">
        <v>21</v>
      </c>
      <c r="N59" s="37" t="s">
        <v>28</v>
      </c>
      <c r="O59" s="37" t="s">
        <v>520</v>
      </c>
      <c r="P59" s="37"/>
      <c r="Q59" s="37" t="s">
        <v>386</v>
      </c>
      <c r="R59" s="37" t="s">
        <v>207</v>
      </c>
      <c r="S59" s="37" t="s">
        <v>208</v>
      </c>
      <c r="T59" s="37" t="s">
        <v>387</v>
      </c>
      <c r="U59" s="37"/>
      <c r="V59" s="37"/>
      <c r="W59" s="37" t="s">
        <v>555</v>
      </c>
      <c r="X59" s="37" t="n">
        <v>46</v>
      </c>
      <c r="Y59" s="37"/>
      <c r="Z59" s="37" t="n">
        <v>7.8</v>
      </c>
      <c r="AA59" s="37"/>
      <c r="AB59" s="37"/>
      <c r="AC59" s="37"/>
      <c r="AD59" s="37"/>
      <c r="AE59" s="37" t="s">
        <v>522</v>
      </c>
      <c r="AF59" s="37" t="s">
        <v>389</v>
      </c>
      <c r="AG59" s="62" t="s">
        <v>446</v>
      </c>
      <c r="AH59" s="63" t="s">
        <v>540</v>
      </c>
      <c r="AI59" s="62"/>
      <c r="AJ59" s="37" t="s">
        <v>462</v>
      </c>
      <c r="AK59" s="37" t="n">
        <f aca="false">SUM(Table1[[#This Row],[reported_1302]:[reported_1286_iso]])</f>
        <v>93.8891513003617</v>
      </c>
      <c r="AL59" s="64" t="n">
        <v>1.21453758477439</v>
      </c>
      <c r="AM59" s="64" t="n">
        <v>1.05027009197539</v>
      </c>
      <c r="AN59" s="64" t="n">
        <v>0.267614631651405</v>
      </c>
      <c r="AO59" s="64" t="n">
        <v>0.894983202203262</v>
      </c>
      <c r="AP59" s="64" t="n">
        <v>57.301722590566</v>
      </c>
      <c r="AQ59" s="64" t="n">
        <v>28.9621293737269</v>
      </c>
      <c r="AR59" s="64" t="n">
        <v>4.19789382546436</v>
      </c>
      <c r="AS59" s="64"/>
      <c r="AT59" s="64"/>
      <c r="AU59" s="64"/>
      <c r="AV59" s="64"/>
      <c r="AW59" s="64"/>
      <c r="AX59" s="64"/>
      <c r="AY59" s="64"/>
      <c r="AZ59" s="64"/>
      <c r="BA59" s="64" t="n">
        <f aca="false">AL59/SUM($AL59:$AQ59)</f>
        <v>0.0135413151623425</v>
      </c>
      <c r="BB59" s="64" t="n">
        <f aca="false">AM59/SUM($AL59:$AQ59)</f>
        <v>0.0117098379657498</v>
      </c>
      <c r="BC59" s="64" t="n">
        <f aca="false">AN59/SUM($AL59:$AQ59)</f>
        <v>0.00298373151615479</v>
      </c>
      <c r="BD59" s="64" t="n">
        <f aca="false">AO59/SUM($AL59:$AQ59)</f>
        <v>0.00997848873346155</v>
      </c>
      <c r="BE59" s="64" t="n">
        <f aca="false">AP59/SUM($AL59:$AQ59)</f>
        <v>0.638877458113502</v>
      </c>
      <c r="BF59" s="64" t="n">
        <f aca="false">AQ59/SUM($AL59:$AQ59)</f>
        <v>0.32290916850879</v>
      </c>
      <c r="BG59" s="65" t="e">
        <f aca="false">#N/A</f>
        <v>#N/A</v>
      </c>
      <c r="BH59" s="37" t="s">
        <v>393</v>
      </c>
      <c r="BI59" s="37" t="s">
        <v>394</v>
      </c>
      <c r="BJ59" s="37" t="s">
        <v>492</v>
      </c>
      <c r="BK59" s="40" t="s">
        <v>4</v>
      </c>
      <c r="BL59" s="37" t="s">
        <v>493</v>
      </c>
      <c r="BM59" s="37" t="s">
        <v>397</v>
      </c>
      <c r="BN59" s="37" t="s">
        <v>397</v>
      </c>
      <c r="BO59" s="37" t="s">
        <v>465</v>
      </c>
      <c r="BP59" s="37" t="s">
        <v>397</v>
      </c>
      <c r="BQ59" s="37" t="s">
        <v>397</v>
      </c>
      <c r="BR59" s="37" t="s">
        <v>405</v>
      </c>
      <c r="BS59" s="37" t="s">
        <v>405</v>
      </c>
      <c r="BT59" s="37" t="s">
        <v>103</v>
      </c>
      <c r="BU59" s="37" t="s">
        <v>466</v>
      </c>
      <c r="BV59" s="37" t="s">
        <v>104</v>
      </c>
      <c r="BW59" s="37" t="s">
        <v>402</v>
      </c>
    </row>
    <row r="60" customFormat="false" ht="14.9" hidden="false" customHeight="false" outlineLevel="0" collapsed="false">
      <c r="A60" s="49" t="s">
        <v>556</v>
      </c>
      <c r="B60" s="66" t="n">
        <v>1904</v>
      </c>
      <c r="C60" s="49" t="s">
        <v>309</v>
      </c>
      <c r="D60" s="37" t="n">
        <f aca="false">INDEX(Strain_IDs!C:C,MATCH(Table1[[#This Row],[Strains]],Strain_IDs!D:D,0))</f>
        <v>25.1</v>
      </c>
      <c r="E60" s="49" t="s">
        <v>382</v>
      </c>
      <c r="F60" s="49" t="s">
        <v>23</v>
      </c>
      <c r="G60" s="49" t="s">
        <v>24</v>
      </c>
      <c r="H60" s="49" t="s">
        <v>22</v>
      </c>
      <c r="I60" s="49" t="s">
        <v>557</v>
      </c>
      <c r="J60" s="49" t="s">
        <v>558</v>
      </c>
      <c r="K60" s="49" t="s">
        <v>382</v>
      </c>
      <c r="L60" s="49" t="s">
        <v>34</v>
      </c>
      <c r="M60" s="49" t="s">
        <v>559</v>
      </c>
      <c r="N60" s="49" t="s">
        <v>22</v>
      </c>
      <c r="O60" s="49" t="s">
        <v>557</v>
      </c>
      <c r="P60" s="49" t="s">
        <v>558</v>
      </c>
      <c r="Q60" s="49" t="s">
        <v>560</v>
      </c>
      <c r="R60" s="37" t="s">
        <v>270</v>
      </c>
      <c r="S60" s="37" t="s">
        <v>270</v>
      </c>
      <c r="T60" s="49" t="s">
        <v>387</v>
      </c>
      <c r="U60" s="49" t="s">
        <v>561</v>
      </c>
      <c r="V60" s="49" t="s">
        <v>562</v>
      </c>
      <c r="W60" s="37" t="s">
        <v>563</v>
      </c>
      <c r="X60" s="49" t="n">
        <v>82</v>
      </c>
      <c r="Y60" s="49"/>
      <c r="Z60" s="49" t="n">
        <v>3.5</v>
      </c>
      <c r="AA60" s="49"/>
      <c r="AB60" s="49"/>
      <c r="AC60" s="49"/>
      <c r="AD60" s="49"/>
      <c r="AE60" s="49"/>
      <c r="AF60" s="49" t="s">
        <v>389</v>
      </c>
      <c r="AG60" s="66" t="s">
        <v>446</v>
      </c>
      <c r="AH60" s="67" t="s">
        <v>461</v>
      </c>
      <c r="AI60" s="66"/>
      <c r="AJ60" s="49" t="s">
        <v>448</v>
      </c>
      <c r="AK60" s="49" t="n">
        <f aca="false">SUM(Table1[[#This Row],[reported_1302]:[reported_1286_iso]])</f>
        <v>1</v>
      </c>
      <c r="AL60" s="68" t="n">
        <v>0.2</v>
      </c>
      <c r="AM60" s="68" t="n">
        <v>0</v>
      </c>
      <c r="AN60" s="68" t="n">
        <v>0</v>
      </c>
      <c r="AO60" s="68" t="n">
        <v>0</v>
      </c>
      <c r="AP60" s="68" t="n">
        <v>0</v>
      </c>
      <c r="AQ60" s="68" t="n">
        <v>0</v>
      </c>
      <c r="AR60" s="68" t="n">
        <v>0.34</v>
      </c>
      <c r="AS60" s="68" t="n">
        <v>0</v>
      </c>
      <c r="AT60" s="68"/>
      <c r="AU60" s="68"/>
      <c r="AV60" s="68" t="n">
        <v>0.46</v>
      </c>
      <c r="AW60" s="68" t="n">
        <v>0</v>
      </c>
      <c r="AX60" s="68" t="n">
        <v>0</v>
      </c>
      <c r="AY60" s="68"/>
      <c r="AZ60" s="68"/>
      <c r="BA60" s="64" t="n">
        <f aca="false">AL60/SUM($AL60:$AQ60)</f>
        <v>1</v>
      </c>
      <c r="BB60" s="64" t="n">
        <f aca="false">AM60/SUM($AL60:$AQ60)</f>
        <v>0</v>
      </c>
      <c r="BC60" s="64" t="n">
        <f aca="false">AN60/SUM($AL60:$AQ60)</f>
        <v>0</v>
      </c>
      <c r="BD60" s="64" t="n">
        <f aca="false">AO60/SUM($AL60:$AQ60)</f>
        <v>0</v>
      </c>
      <c r="BE60" s="64" t="n">
        <f aca="false">AP60/SUM($AL60:$AQ60)</f>
        <v>0</v>
      </c>
      <c r="BF60" s="64" t="n">
        <f aca="false">AQ60/SUM($AL60:$AQ60)</f>
        <v>0</v>
      </c>
      <c r="BG60" s="69" t="e">
        <f aca="false">#N/A</f>
        <v>#N/A</v>
      </c>
      <c r="BH60" s="49" t="s">
        <v>393</v>
      </c>
      <c r="BI60" s="49" t="s">
        <v>564</v>
      </c>
      <c r="BJ60" s="49" t="s">
        <v>565</v>
      </c>
      <c r="BK60" s="70" t="s">
        <v>4</v>
      </c>
      <c r="BL60" s="49" t="s">
        <v>4</v>
      </c>
      <c r="BM60" s="49" t="s">
        <v>397</v>
      </c>
      <c r="BN60" s="49" t="s">
        <v>397</v>
      </c>
      <c r="BO60" s="49" t="s">
        <v>566</v>
      </c>
      <c r="BP60" s="49" t="s">
        <v>399</v>
      </c>
      <c r="BQ60" s="49" t="s">
        <v>399</v>
      </c>
      <c r="BR60" s="49" t="s">
        <v>400</v>
      </c>
      <c r="BS60" s="49" t="s">
        <v>400</v>
      </c>
      <c r="BT60" s="49" t="s">
        <v>240</v>
      </c>
      <c r="BU60" s="49" t="s">
        <v>567</v>
      </c>
      <c r="BV60" s="49" t="s">
        <v>241</v>
      </c>
      <c r="BW60" s="49" t="s">
        <v>402</v>
      </c>
      <c r="BX60" s="71"/>
      <c r="BY60" s="71"/>
      <c r="BZ60" s="71"/>
      <c r="CA60" s="71"/>
      <c r="CB60" s="71"/>
      <c r="CC60" s="71"/>
      <c r="CD60" s="71"/>
      <c r="CE60" s="71"/>
    </row>
    <row r="61" s="71" customFormat="true" ht="14.9" hidden="false" customHeight="false" outlineLevel="0" collapsed="false">
      <c r="A61" s="49" t="s">
        <v>568</v>
      </c>
      <c r="B61" s="66" t="s">
        <v>267</v>
      </c>
      <c r="C61" s="49" t="s">
        <v>266</v>
      </c>
      <c r="D61" s="37" t="n">
        <f aca="false">INDEX(Strain_IDs!C:C,MATCH(Table1[[#This Row],[Strains]],Strain_IDs!D:D,0))</f>
        <v>21</v>
      </c>
      <c r="E61" s="49" t="s">
        <v>382</v>
      </c>
      <c r="F61" s="49" t="s">
        <v>23</v>
      </c>
      <c r="G61" s="49" t="s">
        <v>24</v>
      </c>
      <c r="H61" s="49" t="s">
        <v>22</v>
      </c>
      <c r="I61" s="49" t="s">
        <v>557</v>
      </c>
      <c r="J61" s="49" t="s">
        <v>569</v>
      </c>
      <c r="K61" s="49" t="s">
        <v>382</v>
      </c>
      <c r="L61" s="49" t="s">
        <v>34</v>
      </c>
      <c r="M61" s="49" t="s">
        <v>559</v>
      </c>
      <c r="N61" s="49" t="s">
        <v>22</v>
      </c>
      <c r="O61" s="49" t="s">
        <v>557</v>
      </c>
      <c r="P61" s="49" t="s">
        <v>569</v>
      </c>
      <c r="Q61" s="49" t="s">
        <v>560</v>
      </c>
      <c r="R61" s="37" t="s">
        <v>270</v>
      </c>
      <c r="S61" s="37" t="s">
        <v>270</v>
      </c>
      <c r="T61" s="49" t="s">
        <v>387</v>
      </c>
      <c r="U61" s="49" t="s">
        <v>271</v>
      </c>
      <c r="V61" s="49" t="s">
        <v>570</v>
      </c>
      <c r="W61" s="37" t="s">
        <v>571</v>
      </c>
      <c r="X61" s="49" t="n">
        <v>82</v>
      </c>
      <c r="Y61" s="49"/>
      <c r="Z61" s="49" t="n">
        <v>3.5</v>
      </c>
      <c r="AA61" s="49"/>
      <c r="AB61" s="49"/>
      <c r="AC61" s="49"/>
      <c r="AD61" s="49"/>
      <c r="AE61" s="49"/>
      <c r="AF61" s="49" t="s">
        <v>389</v>
      </c>
      <c r="AG61" s="66" t="s">
        <v>446</v>
      </c>
      <c r="AH61" s="67" t="s">
        <v>461</v>
      </c>
      <c r="AI61" s="66"/>
      <c r="AJ61" s="49" t="s">
        <v>448</v>
      </c>
      <c r="AK61" s="49" t="n">
        <f aca="false">SUM(Table1[[#This Row],[reported_1302]:[reported_1286_iso]])</f>
        <v>1</v>
      </c>
      <c r="AL61" s="68" t="n">
        <v>0</v>
      </c>
      <c r="AM61" s="68" t="n">
        <v>0</v>
      </c>
      <c r="AN61" s="68" t="n">
        <v>0</v>
      </c>
      <c r="AO61" s="68" t="n">
        <v>0.01</v>
      </c>
      <c r="AP61" s="68" t="n">
        <v>0</v>
      </c>
      <c r="AQ61" s="68" t="n">
        <v>0</v>
      </c>
      <c r="AR61" s="68" t="n">
        <v>0.14</v>
      </c>
      <c r="AS61" s="68" t="n">
        <v>0.54</v>
      </c>
      <c r="AT61" s="68"/>
      <c r="AU61" s="68"/>
      <c r="AV61" s="68" t="n">
        <v>0.27</v>
      </c>
      <c r="AW61" s="68" t="n">
        <v>0.02</v>
      </c>
      <c r="AX61" s="68" t="n">
        <v>0.02</v>
      </c>
      <c r="AY61" s="68"/>
      <c r="AZ61" s="68"/>
      <c r="BA61" s="64" t="n">
        <f aca="false">AL61/SUM($AL61:$AQ61)</f>
        <v>0</v>
      </c>
      <c r="BB61" s="64" t="n">
        <f aca="false">AM61/SUM($AL61:$AQ61)</f>
        <v>0</v>
      </c>
      <c r="BC61" s="64" t="n">
        <f aca="false">AN61/SUM($AL61:$AQ61)</f>
        <v>0</v>
      </c>
      <c r="BD61" s="64" t="n">
        <f aca="false">AO61/SUM($AL61:$AQ61)</f>
        <v>1</v>
      </c>
      <c r="BE61" s="64" t="n">
        <f aca="false">AP61/SUM($AL61:$AQ61)</f>
        <v>0</v>
      </c>
      <c r="BF61" s="64" t="n">
        <f aca="false">AQ61/SUM($AL61:$AQ61)</f>
        <v>0</v>
      </c>
      <c r="BG61" s="69" t="e">
        <f aca="false">#N/A</f>
        <v>#N/A</v>
      </c>
      <c r="BH61" s="49" t="s">
        <v>393</v>
      </c>
      <c r="BI61" s="49" t="s">
        <v>564</v>
      </c>
      <c r="BJ61" s="49" t="s">
        <v>565</v>
      </c>
      <c r="BK61" s="70" t="s">
        <v>4</v>
      </c>
      <c r="BL61" s="49" t="s">
        <v>4</v>
      </c>
      <c r="BM61" s="49" t="s">
        <v>397</v>
      </c>
      <c r="BN61" s="49" t="s">
        <v>397</v>
      </c>
      <c r="BO61" s="49" t="s">
        <v>566</v>
      </c>
      <c r="BP61" s="49" t="e">
        <f aca="false">#DIV/0!</f>
        <v>#DIV/0!</v>
      </c>
      <c r="BQ61" s="49" t="s">
        <v>399</v>
      </c>
      <c r="BR61" s="49" t="e">
        <f aca="false">#DIV/0!</f>
        <v>#DIV/0!</v>
      </c>
      <c r="BS61" s="49" t="s">
        <v>400</v>
      </c>
      <c r="BT61" s="49" t="s">
        <v>240</v>
      </c>
      <c r="BU61" s="49" t="s">
        <v>567</v>
      </c>
      <c r="BV61" s="49" t="s">
        <v>241</v>
      </c>
      <c r="BW61" s="49" t="s">
        <v>402</v>
      </c>
    </row>
    <row r="62" s="71" customFormat="true" ht="14.9" hidden="false" customHeight="false" outlineLevel="0" collapsed="false">
      <c r="A62" s="49" t="s">
        <v>572</v>
      </c>
      <c r="B62" s="66" t="s">
        <v>233</v>
      </c>
      <c r="C62" s="49" t="s">
        <v>232</v>
      </c>
      <c r="D62" s="37" t="n">
        <f aca="false">INDEX(Strain_IDs!C:C,MATCH(Table1[[#This Row],[Strains]],Strain_IDs!D:D,0))</f>
        <v>18</v>
      </c>
      <c r="E62" s="49" t="s">
        <v>382</v>
      </c>
      <c r="F62" s="49" t="s">
        <v>23</v>
      </c>
      <c r="G62" s="49" t="s">
        <v>24</v>
      </c>
      <c r="H62" s="49" t="s">
        <v>32</v>
      </c>
      <c r="I62" s="49" t="s">
        <v>573</v>
      </c>
      <c r="J62" s="49"/>
      <c r="K62" s="49" t="s">
        <v>382</v>
      </c>
      <c r="L62" s="49" t="s">
        <v>34</v>
      </c>
      <c r="M62" s="49" t="s">
        <v>24</v>
      </c>
      <c r="N62" s="49" t="s">
        <v>32</v>
      </c>
      <c r="O62" s="49" t="s">
        <v>573</v>
      </c>
      <c r="P62" s="49"/>
      <c r="Q62" s="49" t="s">
        <v>560</v>
      </c>
      <c r="R62" s="37" t="s">
        <v>236</v>
      </c>
      <c r="S62" s="37" t="s">
        <v>236</v>
      </c>
      <c r="T62" s="49" t="s">
        <v>387</v>
      </c>
      <c r="U62" s="49"/>
      <c r="V62" s="49"/>
      <c r="W62" s="37" t="s">
        <v>574</v>
      </c>
      <c r="X62" s="49" t="n">
        <v>75</v>
      </c>
      <c r="Y62" s="49"/>
      <c r="Z62" s="49" t="n">
        <v>4.5</v>
      </c>
      <c r="AA62" s="49"/>
      <c r="AB62" s="49"/>
      <c r="AC62" s="49"/>
      <c r="AD62" s="49"/>
      <c r="AE62" s="49"/>
      <c r="AF62" s="49" t="s">
        <v>389</v>
      </c>
      <c r="AG62" s="66" t="s">
        <v>446</v>
      </c>
      <c r="AH62" s="67" t="s">
        <v>461</v>
      </c>
      <c r="AI62" s="66"/>
      <c r="AJ62" s="49" t="s">
        <v>448</v>
      </c>
      <c r="AK62" s="49" t="n">
        <f aca="false">SUM(Table1[[#This Row],[reported_1302]:[reported_1286_iso]])</f>
        <v>1</v>
      </c>
      <c r="AL62" s="68" t="n">
        <v>0.07</v>
      </c>
      <c r="AM62" s="68" t="n">
        <v>0.15</v>
      </c>
      <c r="AN62" s="68" t="n">
        <v>0.23</v>
      </c>
      <c r="AO62" s="68" t="n">
        <v>0.25</v>
      </c>
      <c r="AP62" s="68" t="n">
        <v>0</v>
      </c>
      <c r="AQ62" s="68" t="n">
        <v>0</v>
      </c>
      <c r="AR62" s="68" t="n">
        <v>0.26</v>
      </c>
      <c r="AS62" s="68" t="n">
        <v>0</v>
      </c>
      <c r="AT62" s="68"/>
      <c r="AU62" s="68"/>
      <c r="AV62" s="68" t="n">
        <v>0.04</v>
      </c>
      <c r="AW62" s="68" t="n">
        <v>0</v>
      </c>
      <c r="AX62" s="68" t="n">
        <v>0</v>
      </c>
      <c r="AY62" s="68"/>
      <c r="AZ62" s="68"/>
      <c r="BA62" s="64" t="n">
        <f aca="false">AL62/SUM($AL62:$AQ62)</f>
        <v>0.1</v>
      </c>
      <c r="BB62" s="64" t="n">
        <f aca="false">AM62/SUM($AL62:$AQ62)</f>
        <v>0.214285714285714</v>
      </c>
      <c r="BC62" s="64" t="n">
        <f aca="false">AN62/SUM($AL62:$AQ62)</f>
        <v>0.328571428571429</v>
      </c>
      <c r="BD62" s="64" t="n">
        <f aca="false">AO62/SUM($AL62:$AQ62)</f>
        <v>0.357142857142857</v>
      </c>
      <c r="BE62" s="64" t="n">
        <f aca="false">AP62/SUM($AL62:$AQ62)</f>
        <v>0</v>
      </c>
      <c r="BF62" s="64" t="n">
        <f aca="false">AQ62/SUM($AL62:$AQ62)</f>
        <v>0</v>
      </c>
      <c r="BG62" s="69" t="e">
        <f aca="false">#N/A</f>
        <v>#N/A</v>
      </c>
      <c r="BH62" s="49" t="s">
        <v>393</v>
      </c>
      <c r="BI62" s="49" t="s">
        <v>564</v>
      </c>
      <c r="BJ62" s="49" t="s">
        <v>565</v>
      </c>
      <c r="BK62" s="70" t="s">
        <v>4</v>
      </c>
      <c r="BL62" s="49" t="s">
        <v>4</v>
      </c>
      <c r="BM62" s="49" t="s">
        <v>397</v>
      </c>
      <c r="BN62" s="49" t="s">
        <v>397</v>
      </c>
      <c r="BO62" s="49" t="s">
        <v>566</v>
      </c>
      <c r="BP62" s="49" t="s">
        <v>399</v>
      </c>
      <c r="BQ62" s="49" t="s">
        <v>399</v>
      </c>
      <c r="BR62" s="49" t="s">
        <v>400</v>
      </c>
      <c r="BS62" s="49" t="s">
        <v>400</v>
      </c>
      <c r="BT62" s="49" t="s">
        <v>240</v>
      </c>
      <c r="BU62" s="49" t="s">
        <v>567</v>
      </c>
      <c r="BV62" s="49" t="s">
        <v>241</v>
      </c>
      <c r="BW62" s="49" t="s">
        <v>402</v>
      </c>
    </row>
    <row r="63" s="71" customFormat="true" ht="14.9" hidden="false" customHeight="false" outlineLevel="0" collapsed="false">
      <c r="A63" s="49" t="s">
        <v>575</v>
      </c>
      <c r="B63" s="66" t="s">
        <v>245</v>
      </c>
      <c r="C63" s="49" t="s">
        <v>244</v>
      </c>
      <c r="D63" s="37" t="n">
        <f aca="false">INDEX(Strain_IDs!C:C,MATCH(Table1[[#This Row],[Strains]],Strain_IDs!D:D,0))</f>
        <v>19</v>
      </c>
      <c r="E63" s="49" t="s">
        <v>382</v>
      </c>
      <c r="F63" s="49" t="s">
        <v>23</v>
      </c>
      <c r="G63" s="49" t="s">
        <v>24</v>
      </c>
      <c r="H63" s="49" t="s">
        <v>32</v>
      </c>
      <c r="I63" s="49" t="s">
        <v>576</v>
      </c>
      <c r="J63" s="49"/>
      <c r="K63" s="49" t="s">
        <v>382</v>
      </c>
      <c r="L63" s="49" t="s">
        <v>34</v>
      </c>
      <c r="M63" s="49" t="s">
        <v>24</v>
      </c>
      <c r="N63" s="49" t="s">
        <v>32</v>
      </c>
      <c r="O63" s="49" t="s">
        <v>576</v>
      </c>
      <c r="P63" s="49"/>
      <c r="Q63" s="49" t="s">
        <v>560</v>
      </c>
      <c r="R63" s="37" t="s">
        <v>236</v>
      </c>
      <c r="S63" s="37" t="s">
        <v>236</v>
      </c>
      <c r="T63" s="49" t="s">
        <v>387</v>
      </c>
      <c r="U63" s="49"/>
      <c r="V63" s="49"/>
      <c r="W63" s="37" t="s">
        <v>577</v>
      </c>
      <c r="X63" s="49" t="n">
        <v>85</v>
      </c>
      <c r="Y63" s="49"/>
      <c r="Z63" s="49" t="n">
        <v>4.5</v>
      </c>
      <c r="AA63" s="49"/>
      <c r="AB63" s="49"/>
      <c r="AC63" s="49"/>
      <c r="AD63" s="49"/>
      <c r="AE63" s="49"/>
      <c r="AF63" s="49" t="s">
        <v>389</v>
      </c>
      <c r="AG63" s="66" t="s">
        <v>446</v>
      </c>
      <c r="AH63" s="67" t="s">
        <v>461</v>
      </c>
      <c r="AI63" s="66"/>
      <c r="AJ63" s="49" t="s">
        <v>448</v>
      </c>
      <c r="AK63" s="49" t="n">
        <f aca="false">SUM(Table1[[#This Row],[reported_1302]:[reported_1286_iso]])</f>
        <v>1</v>
      </c>
      <c r="AL63" s="68" t="n">
        <v>0</v>
      </c>
      <c r="AM63" s="68" t="n">
        <v>0.01</v>
      </c>
      <c r="AN63" s="68" t="n">
        <v>0.04</v>
      </c>
      <c r="AO63" s="68" t="n">
        <v>0.14</v>
      </c>
      <c r="AP63" s="68" t="n">
        <v>0</v>
      </c>
      <c r="AQ63" s="68" t="n">
        <v>0</v>
      </c>
      <c r="AR63" s="68" t="n">
        <v>0.31</v>
      </c>
      <c r="AS63" s="68" t="n">
        <v>0.15</v>
      </c>
      <c r="AT63" s="68"/>
      <c r="AU63" s="68"/>
      <c r="AV63" s="68" t="n">
        <v>0.27</v>
      </c>
      <c r="AW63" s="68" t="n">
        <v>0.08</v>
      </c>
      <c r="AX63" s="68" t="n">
        <v>0</v>
      </c>
      <c r="AY63" s="68"/>
      <c r="AZ63" s="68"/>
      <c r="BA63" s="64" t="n">
        <f aca="false">AL63/SUM($AL63:$AQ63)</f>
        <v>0</v>
      </c>
      <c r="BB63" s="64" t="n">
        <f aca="false">AM63/SUM($AL63:$AQ63)</f>
        <v>0.0526315789473684</v>
      </c>
      <c r="BC63" s="64" t="n">
        <f aca="false">AN63/SUM($AL63:$AQ63)</f>
        <v>0.210526315789474</v>
      </c>
      <c r="BD63" s="64" t="n">
        <f aca="false">AO63/SUM($AL63:$AQ63)</f>
        <v>0.736842105263158</v>
      </c>
      <c r="BE63" s="64" t="n">
        <f aca="false">AP63/SUM($AL63:$AQ63)</f>
        <v>0</v>
      </c>
      <c r="BF63" s="64" t="n">
        <f aca="false">AQ63/SUM($AL63:$AQ63)</f>
        <v>0</v>
      </c>
      <c r="BG63" s="69" t="e">
        <f aca="false">#N/A</f>
        <v>#N/A</v>
      </c>
      <c r="BH63" s="49" t="s">
        <v>393</v>
      </c>
      <c r="BI63" s="49" t="s">
        <v>564</v>
      </c>
      <c r="BJ63" s="49" t="s">
        <v>565</v>
      </c>
      <c r="BK63" s="70" t="s">
        <v>4</v>
      </c>
      <c r="BL63" s="49" t="s">
        <v>4</v>
      </c>
      <c r="BM63" s="49" t="s">
        <v>397</v>
      </c>
      <c r="BN63" s="49" t="s">
        <v>397</v>
      </c>
      <c r="BO63" s="49" t="s">
        <v>566</v>
      </c>
      <c r="BP63" s="49" t="e">
        <f aca="false">#DIV/0!</f>
        <v>#DIV/0!</v>
      </c>
      <c r="BQ63" s="49" t="s">
        <v>399</v>
      </c>
      <c r="BR63" s="49" t="e">
        <f aca="false">#DIV/0!</f>
        <v>#DIV/0!</v>
      </c>
      <c r="BS63" s="49" t="s">
        <v>400</v>
      </c>
      <c r="BT63" s="49" t="s">
        <v>240</v>
      </c>
      <c r="BU63" s="49" t="s">
        <v>567</v>
      </c>
      <c r="BV63" s="49" t="s">
        <v>241</v>
      </c>
      <c r="BW63" s="49" t="s">
        <v>402</v>
      </c>
    </row>
    <row r="64" s="71" customFormat="true" ht="14.9" hidden="false" customHeight="false" outlineLevel="0" collapsed="false">
      <c r="A64" s="49" t="s">
        <v>578</v>
      </c>
      <c r="B64" s="66" t="s">
        <v>282</v>
      </c>
      <c r="C64" s="49" t="s">
        <v>281</v>
      </c>
      <c r="D64" s="37" t="n">
        <f aca="false">INDEX(Strain_IDs!C:C,MATCH(Table1[[#This Row],[Strains]],Strain_IDs!D:D,0))</f>
        <v>23</v>
      </c>
      <c r="E64" s="49" t="s">
        <v>382</v>
      </c>
      <c r="F64" s="49" t="s">
        <v>34</v>
      </c>
      <c r="G64" s="49" t="s">
        <v>35</v>
      </c>
      <c r="H64" s="49" t="s">
        <v>579</v>
      </c>
      <c r="I64" s="49" t="s">
        <v>580</v>
      </c>
      <c r="J64" s="49"/>
      <c r="K64" s="49" t="s">
        <v>382</v>
      </c>
      <c r="L64" s="49" t="s">
        <v>34</v>
      </c>
      <c r="M64" s="49" t="s">
        <v>35</v>
      </c>
      <c r="N64" s="49" t="s">
        <v>33</v>
      </c>
      <c r="O64" s="49" t="s">
        <v>580</v>
      </c>
      <c r="P64" s="49"/>
      <c r="Q64" s="49" t="s">
        <v>581</v>
      </c>
      <c r="R64" s="37" t="s">
        <v>278</v>
      </c>
      <c r="S64" s="37" t="s">
        <v>278</v>
      </c>
      <c r="T64" s="49" t="s">
        <v>387</v>
      </c>
      <c r="U64" s="49"/>
      <c r="V64" s="49"/>
      <c r="W64" s="37" t="s">
        <v>582</v>
      </c>
      <c r="X64" s="49" t="n">
        <v>85</v>
      </c>
      <c r="Y64" s="49"/>
      <c r="Z64" s="49" t="n">
        <v>4.5</v>
      </c>
      <c r="AA64" s="49"/>
      <c r="AB64" s="49"/>
      <c r="AC64" s="49"/>
      <c r="AD64" s="49"/>
      <c r="AE64" s="49"/>
      <c r="AF64" s="49" t="s">
        <v>389</v>
      </c>
      <c r="AG64" s="66" t="s">
        <v>446</v>
      </c>
      <c r="AH64" s="67" t="s">
        <v>461</v>
      </c>
      <c r="AI64" s="66"/>
      <c r="AJ64" s="49" t="s">
        <v>448</v>
      </c>
      <c r="AK64" s="49" t="n">
        <f aca="false">SUM(Table1[[#This Row],[reported_1302]:[reported_1286_iso]])</f>
        <v>1</v>
      </c>
      <c r="AL64" s="68" t="n">
        <v>0.04</v>
      </c>
      <c r="AM64" s="68" t="n">
        <v>0.03</v>
      </c>
      <c r="AN64" s="68" t="n">
        <v>0.06</v>
      </c>
      <c r="AO64" s="68" t="n">
        <v>0.14</v>
      </c>
      <c r="AP64" s="68" t="n">
        <v>0</v>
      </c>
      <c r="AQ64" s="68" t="n">
        <v>0</v>
      </c>
      <c r="AR64" s="68" t="n">
        <v>0.54</v>
      </c>
      <c r="AS64" s="68" t="n">
        <v>0.02</v>
      </c>
      <c r="AT64" s="68"/>
      <c r="AU64" s="68"/>
      <c r="AV64" s="68" t="n">
        <v>0.15</v>
      </c>
      <c r="AW64" s="68" t="n">
        <v>0</v>
      </c>
      <c r="AX64" s="68" t="n">
        <v>0.02</v>
      </c>
      <c r="AY64" s="68"/>
      <c r="AZ64" s="68"/>
      <c r="BA64" s="64" t="n">
        <f aca="false">AL64/SUM($AL64:$AQ64)</f>
        <v>0.148148148148148</v>
      </c>
      <c r="BB64" s="64" t="n">
        <f aca="false">AM64/SUM($AL64:$AQ64)</f>
        <v>0.111111111111111</v>
      </c>
      <c r="BC64" s="64" t="n">
        <f aca="false">AN64/SUM($AL64:$AQ64)</f>
        <v>0.222222222222222</v>
      </c>
      <c r="BD64" s="64" t="n">
        <f aca="false">AO64/SUM($AL64:$AQ64)</f>
        <v>0.518518518518519</v>
      </c>
      <c r="BE64" s="64" t="n">
        <f aca="false">AP64/SUM($AL64:$AQ64)</f>
        <v>0</v>
      </c>
      <c r="BF64" s="64" t="n">
        <f aca="false">AQ64/SUM($AL64:$AQ64)</f>
        <v>0</v>
      </c>
      <c r="BG64" s="69" t="e">
        <f aca="false">#N/A</f>
        <v>#N/A</v>
      </c>
      <c r="BH64" s="49" t="s">
        <v>393</v>
      </c>
      <c r="BI64" s="49" t="s">
        <v>564</v>
      </c>
      <c r="BJ64" s="49" t="s">
        <v>565</v>
      </c>
      <c r="BK64" s="70" t="s">
        <v>4</v>
      </c>
      <c r="BL64" s="49" t="s">
        <v>4</v>
      </c>
      <c r="BM64" s="49" t="s">
        <v>397</v>
      </c>
      <c r="BN64" s="49" t="s">
        <v>397</v>
      </c>
      <c r="BO64" s="49" t="s">
        <v>566</v>
      </c>
      <c r="BP64" s="49" t="s">
        <v>399</v>
      </c>
      <c r="BQ64" s="49" t="s">
        <v>399</v>
      </c>
      <c r="BR64" s="49" t="s">
        <v>400</v>
      </c>
      <c r="BS64" s="49" t="s">
        <v>400</v>
      </c>
      <c r="BT64" s="49" t="s">
        <v>240</v>
      </c>
      <c r="BU64" s="49" t="s">
        <v>567</v>
      </c>
      <c r="BV64" s="49" t="s">
        <v>241</v>
      </c>
      <c r="BW64" s="49" t="s">
        <v>402</v>
      </c>
    </row>
    <row r="65" s="71" customFormat="true" ht="14.9" hidden="false" customHeight="false" outlineLevel="0" collapsed="false">
      <c r="A65" s="49" t="s">
        <v>583</v>
      </c>
      <c r="B65" s="66" t="s">
        <v>275</v>
      </c>
      <c r="C65" s="49" t="s">
        <v>274</v>
      </c>
      <c r="D65" s="37" t="n">
        <f aca="false">INDEX(Strain_IDs!C:C,MATCH(Table1[[#This Row],[Strains]],Strain_IDs!D:D,0))</f>
        <v>22</v>
      </c>
      <c r="E65" s="49" t="s">
        <v>382</v>
      </c>
      <c r="F65" s="49" t="s">
        <v>34</v>
      </c>
      <c r="G65" s="49" t="s">
        <v>35</v>
      </c>
      <c r="H65" s="49" t="s">
        <v>33</v>
      </c>
      <c r="I65" s="49" t="s">
        <v>584</v>
      </c>
      <c r="J65" s="49"/>
      <c r="K65" s="49" t="s">
        <v>382</v>
      </c>
      <c r="L65" s="49" t="s">
        <v>34</v>
      </c>
      <c r="M65" s="49" t="s">
        <v>35</v>
      </c>
      <c r="N65" s="49" t="s">
        <v>33</v>
      </c>
      <c r="O65" s="49" t="s">
        <v>584</v>
      </c>
      <c r="P65" s="49"/>
      <c r="Q65" s="49" t="s">
        <v>560</v>
      </c>
      <c r="R65" s="37" t="s">
        <v>278</v>
      </c>
      <c r="S65" s="37" t="s">
        <v>278</v>
      </c>
      <c r="T65" s="49" t="s">
        <v>387</v>
      </c>
      <c r="U65" s="49"/>
      <c r="V65" s="49"/>
      <c r="W65" s="37" t="s">
        <v>585</v>
      </c>
      <c r="X65" s="49" t="n">
        <v>85</v>
      </c>
      <c r="Y65" s="49"/>
      <c r="Z65" s="49" t="n">
        <v>5.5</v>
      </c>
      <c r="AA65" s="49"/>
      <c r="AB65" s="49"/>
      <c r="AC65" s="49"/>
      <c r="AD65" s="49"/>
      <c r="AE65" s="49"/>
      <c r="AF65" s="49" t="s">
        <v>389</v>
      </c>
      <c r="AG65" s="66" t="s">
        <v>446</v>
      </c>
      <c r="AH65" s="67" t="s">
        <v>461</v>
      </c>
      <c r="AI65" s="66"/>
      <c r="AJ65" s="49" t="s">
        <v>448</v>
      </c>
      <c r="AK65" s="49" t="n">
        <f aca="false">SUM(Table1[[#This Row],[reported_1302]:[reported_1286_iso]])</f>
        <v>1</v>
      </c>
      <c r="AL65" s="68" t="n">
        <v>0.05</v>
      </c>
      <c r="AM65" s="68" t="n">
        <v>0.02</v>
      </c>
      <c r="AN65" s="68" t="n">
        <v>0.06</v>
      </c>
      <c r="AO65" s="68" t="n">
        <v>0.08</v>
      </c>
      <c r="AP65" s="68" t="n">
        <v>0</v>
      </c>
      <c r="AQ65" s="68" t="n">
        <v>0</v>
      </c>
      <c r="AR65" s="68" t="n">
        <v>0.62</v>
      </c>
      <c r="AS65" s="68" t="n">
        <v>0.02</v>
      </c>
      <c r="AT65" s="68"/>
      <c r="AU65" s="68"/>
      <c r="AV65" s="68" t="n">
        <v>0.15</v>
      </c>
      <c r="AW65" s="68" t="n">
        <v>0</v>
      </c>
      <c r="AX65" s="68" t="n">
        <v>0</v>
      </c>
      <c r="AY65" s="68"/>
      <c r="AZ65" s="68"/>
      <c r="BA65" s="64" t="n">
        <f aca="false">AL65/SUM($AL65:$AQ65)</f>
        <v>0.238095238095238</v>
      </c>
      <c r="BB65" s="64" t="n">
        <f aca="false">AM65/SUM($AL65:$AQ65)</f>
        <v>0.0952380952380953</v>
      </c>
      <c r="BC65" s="64" t="n">
        <f aca="false">AN65/SUM($AL65:$AQ65)</f>
        <v>0.285714285714286</v>
      </c>
      <c r="BD65" s="64" t="n">
        <f aca="false">AO65/SUM($AL65:$AQ65)</f>
        <v>0.380952380952381</v>
      </c>
      <c r="BE65" s="64" t="n">
        <f aca="false">AP65/SUM($AL65:$AQ65)</f>
        <v>0</v>
      </c>
      <c r="BF65" s="64" t="n">
        <f aca="false">AQ65/SUM($AL65:$AQ65)</f>
        <v>0</v>
      </c>
      <c r="BG65" s="69" t="e">
        <f aca="false">#N/A</f>
        <v>#N/A</v>
      </c>
      <c r="BH65" s="49" t="s">
        <v>393</v>
      </c>
      <c r="BI65" s="49" t="s">
        <v>564</v>
      </c>
      <c r="BJ65" s="49" t="s">
        <v>565</v>
      </c>
      <c r="BK65" s="70" t="s">
        <v>4</v>
      </c>
      <c r="BL65" s="49" t="s">
        <v>4</v>
      </c>
      <c r="BM65" s="49" t="s">
        <v>397</v>
      </c>
      <c r="BN65" s="49" t="s">
        <v>397</v>
      </c>
      <c r="BO65" s="49" t="s">
        <v>566</v>
      </c>
      <c r="BP65" s="49" t="s">
        <v>399</v>
      </c>
      <c r="BQ65" s="49" t="s">
        <v>399</v>
      </c>
      <c r="BR65" s="49" t="s">
        <v>400</v>
      </c>
      <c r="BS65" s="49" t="s">
        <v>400</v>
      </c>
      <c r="BT65" s="49" t="s">
        <v>240</v>
      </c>
      <c r="BU65" s="49" t="s">
        <v>567</v>
      </c>
      <c r="BV65" s="49" t="s">
        <v>241</v>
      </c>
      <c r="BW65" s="49" t="s">
        <v>402</v>
      </c>
    </row>
    <row r="66" s="71" customFormat="true" ht="14.9" hidden="false" customHeight="false" outlineLevel="0" collapsed="false">
      <c r="A66" s="49" t="s">
        <v>586</v>
      </c>
      <c r="B66" s="66" t="s">
        <v>252</v>
      </c>
      <c r="C66" s="49" t="s">
        <v>251</v>
      </c>
      <c r="D66" s="37" t="n">
        <f aca="false">INDEX(Strain_IDs!C:C,MATCH(Table1[[#This Row],[Strains]],Strain_IDs!D:D,0))</f>
        <v>20</v>
      </c>
      <c r="E66" s="49" t="s">
        <v>382</v>
      </c>
      <c r="F66" s="49" t="s">
        <v>23</v>
      </c>
      <c r="G66" s="49" t="s">
        <v>24</v>
      </c>
      <c r="H66" s="49" t="s">
        <v>26</v>
      </c>
      <c r="I66" s="49" t="s">
        <v>587</v>
      </c>
      <c r="J66" s="49"/>
      <c r="K66" s="49" t="s">
        <v>382</v>
      </c>
      <c r="L66" s="49" t="s">
        <v>34</v>
      </c>
      <c r="M66" s="49" t="s">
        <v>588</v>
      </c>
      <c r="N66" s="49" t="s">
        <v>26</v>
      </c>
      <c r="O66" s="49" t="s">
        <v>587</v>
      </c>
      <c r="P66" s="49"/>
      <c r="Q66" s="49" t="s">
        <v>581</v>
      </c>
      <c r="R66" s="37" t="s">
        <v>255</v>
      </c>
      <c r="S66" s="37" t="s">
        <v>255</v>
      </c>
      <c r="T66" s="49" t="s">
        <v>387</v>
      </c>
      <c r="U66" s="49"/>
      <c r="V66" s="49"/>
      <c r="W66" s="37" t="s">
        <v>589</v>
      </c>
      <c r="X66" s="49" t="n">
        <v>85</v>
      </c>
      <c r="Y66" s="49"/>
      <c r="Z66" s="49" t="n">
        <v>6</v>
      </c>
      <c r="AA66" s="49"/>
      <c r="AB66" s="49"/>
      <c r="AC66" s="49"/>
      <c r="AD66" s="49"/>
      <c r="AE66" s="49"/>
      <c r="AF66" s="49" t="s">
        <v>389</v>
      </c>
      <c r="AG66" s="66" t="s">
        <v>446</v>
      </c>
      <c r="AH66" s="67" t="s">
        <v>461</v>
      </c>
      <c r="AI66" s="66"/>
      <c r="AJ66" s="49" t="s">
        <v>448</v>
      </c>
      <c r="AK66" s="49" t="n">
        <f aca="false">SUM(Table1[[#This Row],[reported_1302]:[reported_1286_iso]])</f>
        <v>1</v>
      </c>
      <c r="AL66" s="68" t="n">
        <v>0.09</v>
      </c>
      <c r="AM66" s="68" t="n">
        <v>0.1</v>
      </c>
      <c r="AN66" s="68" t="n">
        <v>0.19</v>
      </c>
      <c r="AO66" s="68" t="n">
        <v>0.3</v>
      </c>
      <c r="AP66" s="68" t="n">
        <v>0</v>
      </c>
      <c r="AQ66" s="68" t="n">
        <v>0</v>
      </c>
      <c r="AR66" s="68" t="n">
        <v>0.32</v>
      </c>
      <c r="AS66" s="68" t="n">
        <v>0</v>
      </c>
      <c r="AT66" s="68"/>
      <c r="AU66" s="68"/>
      <c r="AV66" s="68" t="n">
        <v>0</v>
      </c>
      <c r="AW66" s="68" t="n">
        <v>0</v>
      </c>
      <c r="AX66" s="68" t="n">
        <v>0</v>
      </c>
      <c r="AY66" s="68"/>
      <c r="AZ66" s="68"/>
      <c r="BA66" s="64" t="n">
        <f aca="false">AL66/SUM($AL66:$AQ66)</f>
        <v>0.132352941176471</v>
      </c>
      <c r="BB66" s="64" t="n">
        <f aca="false">AM66/SUM($AL66:$AQ66)</f>
        <v>0.147058823529412</v>
      </c>
      <c r="BC66" s="64" t="n">
        <f aca="false">AN66/SUM($AL66:$AQ66)</f>
        <v>0.279411764705882</v>
      </c>
      <c r="BD66" s="64" t="n">
        <f aca="false">AO66/SUM($AL66:$AQ66)</f>
        <v>0.441176470588235</v>
      </c>
      <c r="BE66" s="64" t="n">
        <f aca="false">AP66/SUM($AL66:$AQ66)</f>
        <v>0</v>
      </c>
      <c r="BF66" s="64" t="n">
        <f aca="false">AQ66/SUM($AL66:$AQ66)</f>
        <v>0</v>
      </c>
      <c r="BG66" s="69" t="e">
        <f aca="false">#N/A</f>
        <v>#N/A</v>
      </c>
      <c r="BH66" s="49" t="s">
        <v>393</v>
      </c>
      <c r="BI66" s="49" t="s">
        <v>564</v>
      </c>
      <c r="BJ66" s="49" t="s">
        <v>565</v>
      </c>
      <c r="BK66" s="70" t="s">
        <v>4</v>
      </c>
      <c r="BL66" s="49" t="s">
        <v>4</v>
      </c>
      <c r="BM66" s="49" t="s">
        <v>397</v>
      </c>
      <c r="BN66" s="49" t="s">
        <v>397</v>
      </c>
      <c r="BO66" s="49" t="s">
        <v>566</v>
      </c>
      <c r="BP66" s="49" t="s">
        <v>399</v>
      </c>
      <c r="BQ66" s="49" t="s">
        <v>399</v>
      </c>
      <c r="BR66" s="49" t="s">
        <v>400</v>
      </c>
      <c r="BS66" s="49" t="s">
        <v>400</v>
      </c>
      <c r="BT66" s="49" t="s">
        <v>240</v>
      </c>
      <c r="BU66" s="49" t="s">
        <v>567</v>
      </c>
      <c r="BV66" s="49" t="s">
        <v>241</v>
      </c>
      <c r="BW66" s="49" t="s">
        <v>402</v>
      </c>
    </row>
    <row r="67" s="71" customFormat="true" ht="14.9" hidden="false" customHeight="false" outlineLevel="0" collapsed="false">
      <c r="A67" s="49" t="s">
        <v>590</v>
      </c>
      <c r="B67" s="62" t="s">
        <v>261</v>
      </c>
      <c r="C67" s="49" t="s">
        <v>260</v>
      </c>
      <c r="D67" s="37" t="n">
        <f aca="false">INDEX(Strain_IDs!C:C,MATCH(Table1[[#This Row],[Strains]],Strain_IDs!D:D,0))</f>
        <v>20</v>
      </c>
      <c r="E67" s="49" t="s">
        <v>382</v>
      </c>
      <c r="F67" s="49" t="s">
        <v>23</v>
      </c>
      <c r="G67" s="49" t="s">
        <v>24</v>
      </c>
      <c r="H67" s="49" t="s">
        <v>26</v>
      </c>
      <c r="I67" s="49" t="s">
        <v>587</v>
      </c>
      <c r="J67" s="49"/>
      <c r="K67" s="49" t="s">
        <v>382</v>
      </c>
      <c r="L67" s="49" t="s">
        <v>34</v>
      </c>
      <c r="M67" s="49" t="s">
        <v>588</v>
      </c>
      <c r="N67" s="49" t="s">
        <v>26</v>
      </c>
      <c r="O67" s="49" t="s">
        <v>587</v>
      </c>
      <c r="P67" s="49"/>
      <c r="Q67" s="49" t="s">
        <v>581</v>
      </c>
      <c r="R67" s="37" t="s">
        <v>255</v>
      </c>
      <c r="S67" s="37" t="s">
        <v>255</v>
      </c>
      <c r="T67" s="49" t="s">
        <v>387</v>
      </c>
      <c r="U67" s="49"/>
      <c r="V67" s="49"/>
      <c r="W67" s="37" t="s">
        <v>591</v>
      </c>
      <c r="X67" s="49" t="n">
        <v>85</v>
      </c>
      <c r="Y67" s="49"/>
      <c r="Z67" s="49" t="n">
        <v>6.5</v>
      </c>
      <c r="AA67" s="49"/>
      <c r="AB67" s="49"/>
      <c r="AC67" s="49"/>
      <c r="AD67" s="49"/>
      <c r="AE67" s="49"/>
      <c r="AF67" s="49" t="s">
        <v>389</v>
      </c>
      <c r="AG67" s="66" t="s">
        <v>446</v>
      </c>
      <c r="AH67" s="67" t="s">
        <v>461</v>
      </c>
      <c r="AI67" s="66"/>
      <c r="AJ67" s="49" t="s">
        <v>448</v>
      </c>
      <c r="AK67" s="49" t="n">
        <f aca="false">SUM(Table1[[#This Row],[reported_1302]:[reported_1286_iso]])</f>
        <v>1</v>
      </c>
      <c r="AL67" s="68" t="n">
        <v>0.08</v>
      </c>
      <c r="AM67" s="68" t="n">
        <v>0.06</v>
      </c>
      <c r="AN67" s="68" t="n">
        <v>0.11</v>
      </c>
      <c r="AO67" s="68" t="n">
        <v>0.2</v>
      </c>
      <c r="AP67" s="68" t="n">
        <v>0</v>
      </c>
      <c r="AQ67" s="68" t="n">
        <v>0</v>
      </c>
      <c r="AR67" s="68" t="n">
        <v>0.55</v>
      </c>
      <c r="AS67" s="68" t="n">
        <v>0</v>
      </c>
      <c r="AT67" s="68"/>
      <c r="AU67" s="68"/>
      <c r="AV67" s="68" t="n">
        <v>0</v>
      </c>
      <c r="AW67" s="68" t="n">
        <v>0</v>
      </c>
      <c r="AX67" s="68" t="n">
        <v>0</v>
      </c>
      <c r="AY67" s="68"/>
      <c r="AZ67" s="68"/>
      <c r="BA67" s="64" t="n">
        <f aca="false">AL67/SUM($AL67:$AQ67)</f>
        <v>0.177777777777778</v>
      </c>
      <c r="BB67" s="64" t="n">
        <f aca="false">AM67/SUM($AL67:$AQ67)</f>
        <v>0.133333333333333</v>
      </c>
      <c r="BC67" s="64" t="n">
        <f aca="false">AN67/SUM($AL67:$AQ67)</f>
        <v>0.244444444444444</v>
      </c>
      <c r="BD67" s="64" t="n">
        <f aca="false">AO67/SUM($AL67:$AQ67)</f>
        <v>0.444444444444445</v>
      </c>
      <c r="BE67" s="64" t="n">
        <f aca="false">AP67/SUM($AL67:$AQ67)</f>
        <v>0</v>
      </c>
      <c r="BF67" s="64" t="n">
        <f aca="false">AQ67/SUM($AL67:$AQ67)</f>
        <v>0</v>
      </c>
      <c r="BG67" s="69" t="e">
        <f aca="false">#N/A</f>
        <v>#N/A</v>
      </c>
      <c r="BH67" s="49" t="s">
        <v>393</v>
      </c>
      <c r="BI67" s="49" t="s">
        <v>564</v>
      </c>
      <c r="BJ67" s="49" t="s">
        <v>565</v>
      </c>
      <c r="BK67" s="70" t="s">
        <v>4</v>
      </c>
      <c r="BL67" s="49" t="s">
        <v>4</v>
      </c>
      <c r="BM67" s="49" t="s">
        <v>397</v>
      </c>
      <c r="BN67" s="49" t="s">
        <v>397</v>
      </c>
      <c r="BO67" s="49" t="s">
        <v>566</v>
      </c>
      <c r="BP67" s="49" t="s">
        <v>399</v>
      </c>
      <c r="BQ67" s="49" t="s">
        <v>399</v>
      </c>
      <c r="BR67" s="49" t="s">
        <v>400</v>
      </c>
      <c r="BS67" s="49" t="s">
        <v>400</v>
      </c>
      <c r="BT67" s="49" t="s">
        <v>240</v>
      </c>
      <c r="BU67" s="49" t="s">
        <v>567</v>
      </c>
      <c r="BV67" s="49" t="s">
        <v>241</v>
      </c>
      <c r="BW67" s="49" t="s">
        <v>402</v>
      </c>
    </row>
    <row r="68" s="71" customFormat="true" ht="14.9" hidden="false" customHeight="false" outlineLevel="0" collapsed="false">
      <c r="A68" s="37" t="s">
        <v>592</v>
      </c>
      <c r="B68" s="62" t="s">
        <v>204</v>
      </c>
      <c r="C68" s="37" t="s">
        <v>203</v>
      </c>
      <c r="D68" s="37" t="n">
        <f aca="false">INDEX(Strain_IDs!C:C,MATCH(Table1[[#This Row],[Strains]],Strain_IDs!D:D,0))</f>
        <v>15</v>
      </c>
      <c r="E68" s="37" t="s">
        <v>382</v>
      </c>
      <c r="F68" s="37" t="s">
        <v>20</v>
      </c>
      <c r="G68" s="37" t="s">
        <v>21</v>
      </c>
      <c r="H68" s="37" t="s">
        <v>28</v>
      </c>
      <c r="I68" s="37" t="s">
        <v>520</v>
      </c>
      <c r="J68" s="37"/>
      <c r="K68" s="37" t="s">
        <v>384</v>
      </c>
      <c r="L68" s="37" t="s">
        <v>20</v>
      </c>
      <c r="M68" s="37" t="s">
        <v>21</v>
      </c>
      <c r="N68" s="37" t="s">
        <v>28</v>
      </c>
      <c r="O68" s="37" t="s">
        <v>520</v>
      </c>
      <c r="P68" s="37"/>
      <c r="Q68" s="37" t="s">
        <v>386</v>
      </c>
      <c r="R68" s="37" t="s">
        <v>207</v>
      </c>
      <c r="S68" s="37" t="s">
        <v>208</v>
      </c>
      <c r="T68" s="37" t="s">
        <v>387</v>
      </c>
      <c r="U68" s="37"/>
      <c r="V68" s="37"/>
      <c r="W68" s="37" t="s">
        <v>593</v>
      </c>
      <c r="X68" s="37" t="n">
        <v>46</v>
      </c>
      <c r="Y68" s="37"/>
      <c r="Z68" s="37" t="n">
        <v>7.8</v>
      </c>
      <c r="AA68" s="37"/>
      <c r="AB68" s="37"/>
      <c r="AC68" s="37"/>
      <c r="AD68" s="37"/>
      <c r="AE68" s="37"/>
      <c r="AF68" s="37" t="s">
        <v>389</v>
      </c>
      <c r="AG68" s="62" t="s">
        <v>446</v>
      </c>
      <c r="AH68" s="63" t="s">
        <v>461</v>
      </c>
      <c r="AI68" s="62"/>
      <c r="AJ68" s="37" t="s">
        <v>448</v>
      </c>
      <c r="AK68" s="37" t="n">
        <f aca="false">SUM(Table1[[#This Row],[reported_1302]:[reported_1286_iso]])</f>
        <v>88.89</v>
      </c>
      <c r="AL68" s="64" t="n">
        <v>0.1</v>
      </c>
      <c r="AM68" s="64" t="n">
        <v>0.12</v>
      </c>
      <c r="AN68" s="64" t="n">
        <v>0.15</v>
      </c>
      <c r="AO68" s="64" t="n">
        <v>0.32</v>
      </c>
      <c r="AP68" s="64" t="n">
        <v>65</v>
      </c>
      <c r="AQ68" s="64" t="n">
        <v>21</v>
      </c>
      <c r="AR68" s="64" t="n">
        <v>2.2</v>
      </c>
      <c r="AS68" s="64"/>
      <c r="AT68" s="64"/>
      <c r="AU68" s="64"/>
      <c r="AV68" s="64"/>
      <c r="AW68" s="64"/>
      <c r="AX68" s="64"/>
      <c r="AY68" s="64"/>
      <c r="AZ68" s="64"/>
      <c r="BA68" s="64" t="n">
        <f aca="false">AL68/SUM($AL68:$AQ68)</f>
        <v>0.00115353558657285</v>
      </c>
      <c r="BB68" s="64" t="n">
        <f aca="false">AM68/SUM($AL68:$AQ68)</f>
        <v>0.00138424270388741</v>
      </c>
      <c r="BC68" s="64" t="n">
        <f aca="false">AN68/SUM($AL68:$AQ68)</f>
        <v>0.00173030337985927</v>
      </c>
      <c r="BD68" s="64" t="n">
        <f aca="false">AO68/SUM($AL68:$AQ68)</f>
        <v>0.00369131387703311</v>
      </c>
      <c r="BE68" s="64" t="n">
        <f aca="false">AP68/SUM($AL68:$AQ68)</f>
        <v>0.74979813127235</v>
      </c>
      <c r="BF68" s="64" t="n">
        <f aca="false">AQ68/SUM($AL68:$AQ68)</f>
        <v>0.242242473180298</v>
      </c>
      <c r="BG68" s="65" t="e">
        <f aca="false">#N/A</f>
        <v>#N/A</v>
      </c>
      <c r="BH68" s="37" t="s">
        <v>393</v>
      </c>
      <c r="BI68" s="37" t="s">
        <v>394</v>
      </c>
      <c r="BJ68" s="37" t="s">
        <v>594</v>
      </c>
      <c r="BK68" s="40" t="s">
        <v>4</v>
      </c>
      <c r="BL68" s="37" t="s">
        <v>4</v>
      </c>
      <c r="BM68" s="37" t="s">
        <v>397</v>
      </c>
      <c r="BN68" s="37" t="s">
        <v>397</v>
      </c>
      <c r="BO68" s="37" t="s">
        <v>595</v>
      </c>
      <c r="BP68" s="37" t="s">
        <v>397</v>
      </c>
      <c r="BQ68" s="37" t="s">
        <v>397</v>
      </c>
      <c r="BR68" s="37" t="s">
        <v>405</v>
      </c>
      <c r="BS68" s="37" t="s">
        <v>405</v>
      </c>
      <c r="BT68" s="37" t="s">
        <v>596</v>
      </c>
      <c r="BU68" s="37" t="s">
        <v>597</v>
      </c>
      <c r="BV68" s="37" t="s">
        <v>598</v>
      </c>
      <c r="BW68" s="37" t="s">
        <v>402</v>
      </c>
      <c r="BX68" s="0"/>
      <c r="BY68" s="0"/>
      <c r="BZ68" s="0"/>
      <c r="CA68" s="0"/>
      <c r="CB68" s="1"/>
      <c r="CC68" s="0"/>
      <c r="CD68" s="1"/>
      <c r="CE68" s="1"/>
    </row>
    <row r="69" customFormat="false" ht="14.9" hidden="false" customHeight="false" outlineLevel="0" collapsed="false">
      <c r="A69" s="37" t="s">
        <v>599</v>
      </c>
      <c r="B69" s="62" t="s">
        <v>204</v>
      </c>
      <c r="C69" s="37" t="s">
        <v>203</v>
      </c>
      <c r="D69" s="37" t="n">
        <f aca="false">INDEX(Strain_IDs!C:C,MATCH(Table1[[#This Row],[Strains]],Strain_IDs!D:D,0))</f>
        <v>15</v>
      </c>
      <c r="E69" s="37" t="s">
        <v>382</v>
      </c>
      <c r="F69" s="37" t="s">
        <v>20</v>
      </c>
      <c r="G69" s="37" t="s">
        <v>21</v>
      </c>
      <c r="H69" s="37" t="s">
        <v>28</v>
      </c>
      <c r="I69" s="37" t="s">
        <v>520</v>
      </c>
      <c r="J69" s="37"/>
      <c r="K69" s="37" t="s">
        <v>384</v>
      </c>
      <c r="L69" s="37" t="s">
        <v>20</v>
      </c>
      <c r="M69" s="37" t="s">
        <v>21</v>
      </c>
      <c r="N69" s="37" t="s">
        <v>28</v>
      </c>
      <c r="O69" s="37" t="s">
        <v>520</v>
      </c>
      <c r="P69" s="37"/>
      <c r="Q69" s="37" t="s">
        <v>386</v>
      </c>
      <c r="R69" s="37" t="s">
        <v>207</v>
      </c>
      <c r="S69" s="37" t="s">
        <v>208</v>
      </c>
      <c r="T69" s="37" t="s">
        <v>387</v>
      </c>
      <c r="U69" s="37"/>
      <c r="V69" s="37"/>
      <c r="W69" s="37" t="s">
        <v>600</v>
      </c>
      <c r="X69" s="37" t="n">
        <v>42</v>
      </c>
      <c r="Y69" s="37"/>
      <c r="Z69" s="37" t="n">
        <v>7.8</v>
      </c>
      <c r="AA69" s="37"/>
      <c r="AB69" s="37"/>
      <c r="AC69" s="37"/>
      <c r="AD69" s="37"/>
      <c r="AE69" s="37"/>
      <c r="AF69" s="37" t="s">
        <v>389</v>
      </c>
      <c r="AG69" s="62" t="s">
        <v>446</v>
      </c>
      <c r="AH69" s="63" t="s">
        <v>461</v>
      </c>
      <c r="AI69" s="62"/>
      <c r="AJ69" s="37" t="s">
        <v>448</v>
      </c>
      <c r="AK69" s="37" t="n">
        <f aca="false">SUM(Table1[[#This Row],[reported_1302]:[reported_1286_iso]])</f>
        <v>96.27</v>
      </c>
      <c r="AL69" s="64" t="n">
        <v>0.32</v>
      </c>
      <c r="AM69" s="64" t="n">
        <v>0.38</v>
      </c>
      <c r="AN69" s="64" t="n">
        <v>0.47</v>
      </c>
      <c r="AO69" s="64" t="n">
        <v>1</v>
      </c>
      <c r="AP69" s="64" t="n">
        <v>69</v>
      </c>
      <c r="AQ69" s="64" t="n">
        <v>24</v>
      </c>
      <c r="AR69" s="64" t="n">
        <v>1.1</v>
      </c>
      <c r="AS69" s="64"/>
      <c r="AT69" s="64"/>
      <c r="AU69" s="64"/>
      <c r="AV69" s="64"/>
      <c r="AW69" s="64"/>
      <c r="AX69" s="64"/>
      <c r="AY69" s="64"/>
      <c r="AZ69" s="64"/>
      <c r="BA69" s="64" t="n">
        <f aca="false">AL69/SUM($AL69:$AQ69)</f>
        <v>0.00336240411894505</v>
      </c>
      <c r="BB69" s="64" t="n">
        <f aca="false">AM69/SUM($AL69:$AQ69)</f>
        <v>0.00399285489124724</v>
      </c>
      <c r="BC69" s="64" t="n">
        <f aca="false">AN69/SUM($AL69:$AQ69)</f>
        <v>0.00493853104970054</v>
      </c>
      <c r="BD69" s="64" t="n">
        <f aca="false">AO69/SUM($AL69:$AQ69)</f>
        <v>0.0105075128717033</v>
      </c>
      <c r="BE69" s="64" t="n">
        <f aca="false">AP69/SUM($AL69:$AQ69)</f>
        <v>0.725018388147526</v>
      </c>
      <c r="BF69" s="64" t="n">
        <f aca="false">AQ69/SUM($AL69:$AQ69)</f>
        <v>0.252180308920878</v>
      </c>
      <c r="BG69" s="65" t="e">
        <f aca="false">#N/A</f>
        <v>#N/A</v>
      </c>
      <c r="BH69" s="37" t="s">
        <v>393</v>
      </c>
      <c r="BI69" s="37" t="s">
        <v>394</v>
      </c>
      <c r="BJ69" s="37" t="s">
        <v>594</v>
      </c>
      <c r="BK69" s="40" t="s">
        <v>4</v>
      </c>
      <c r="BL69" s="37" t="s">
        <v>4</v>
      </c>
      <c r="BM69" s="37" t="s">
        <v>397</v>
      </c>
      <c r="BN69" s="37" t="s">
        <v>397</v>
      </c>
      <c r="BO69" s="37" t="s">
        <v>595</v>
      </c>
      <c r="BP69" s="37" t="s">
        <v>397</v>
      </c>
      <c r="BQ69" s="37" t="s">
        <v>397</v>
      </c>
      <c r="BR69" s="37" t="s">
        <v>405</v>
      </c>
      <c r="BS69" s="37" t="s">
        <v>405</v>
      </c>
      <c r="BT69" s="37" t="s">
        <v>596</v>
      </c>
      <c r="BU69" s="37" t="s">
        <v>597</v>
      </c>
      <c r="BV69" s="37" t="s">
        <v>598</v>
      </c>
      <c r="BW69" s="37" t="s">
        <v>402</v>
      </c>
    </row>
    <row r="70" customFormat="false" ht="14.9" hidden="false" customHeight="false" outlineLevel="0" collapsed="false">
      <c r="A70" s="37" t="s">
        <v>601</v>
      </c>
      <c r="B70" s="62" t="s">
        <v>204</v>
      </c>
      <c r="C70" s="37" t="s">
        <v>203</v>
      </c>
      <c r="D70" s="37" t="n">
        <f aca="false">INDEX(Strain_IDs!C:C,MATCH(Table1[[#This Row],[Strains]],Strain_IDs!D:D,0))</f>
        <v>15</v>
      </c>
      <c r="E70" s="37" t="s">
        <v>382</v>
      </c>
      <c r="F70" s="37" t="s">
        <v>20</v>
      </c>
      <c r="G70" s="37" t="s">
        <v>21</v>
      </c>
      <c r="H70" s="37" t="s">
        <v>28</v>
      </c>
      <c r="I70" s="37" t="s">
        <v>520</v>
      </c>
      <c r="J70" s="37"/>
      <c r="K70" s="37" t="s">
        <v>384</v>
      </c>
      <c r="L70" s="37" t="s">
        <v>20</v>
      </c>
      <c r="M70" s="37" t="s">
        <v>21</v>
      </c>
      <c r="N70" s="37" t="s">
        <v>28</v>
      </c>
      <c r="O70" s="37" t="s">
        <v>520</v>
      </c>
      <c r="P70" s="37"/>
      <c r="Q70" s="37" t="s">
        <v>386</v>
      </c>
      <c r="R70" s="37" t="s">
        <v>207</v>
      </c>
      <c r="S70" s="37" t="s">
        <v>208</v>
      </c>
      <c r="T70" s="37" t="s">
        <v>387</v>
      </c>
      <c r="U70" s="37"/>
      <c r="V70" s="37"/>
      <c r="W70" s="37" t="s">
        <v>602</v>
      </c>
      <c r="X70" s="37" t="n">
        <v>50</v>
      </c>
      <c r="Y70" s="37"/>
      <c r="Z70" s="37" t="n">
        <v>7.8</v>
      </c>
      <c r="AA70" s="37"/>
      <c r="AB70" s="37"/>
      <c r="AC70" s="37"/>
      <c r="AD70" s="37"/>
      <c r="AE70" s="37"/>
      <c r="AF70" s="37" t="s">
        <v>389</v>
      </c>
      <c r="AG70" s="62" t="s">
        <v>446</v>
      </c>
      <c r="AH70" s="63" t="s">
        <v>461</v>
      </c>
      <c r="AI70" s="62"/>
      <c r="AJ70" s="37" t="s">
        <v>448</v>
      </c>
      <c r="AK70" s="37" t="n">
        <f aca="false">SUM(Table1[[#This Row],[reported_1302]:[reported_1286_iso]])</f>
        <v>93.28</v>
      </c>
      <c r="AL70" s="64" t="n">
        <v>0.1</v>
      </c>
      <c r="AM70" s="64" t="n">
        <v>0.13</v>
      </c>
      <c r="AN70" s="64" t="n">
        <v>0.17</v>
      </c>
      <c r="AO70" s="64" t="n">
        <v>0.38</v>
      </c>
      <c r="AP70" s="64" t="n">
        <v>70</v>
      </c>
      <c r="AQ70" s="64" t="n">
        <v>21</v>
      </c>
      <c r="AR70" s="64" t="n">
        <v>1.5</v>
      </c>
      <c r="AS70" s="64"/>
      <c r="AT70" s="64"/>
      <c r="AU70" s="64"/>
      <c r="AV70" s="64"/>
      <c r="AW70" s="64"/>
      <c r="AX70" s="64"/>
      <c r="AY70" s="64"/>
      <c r="AZ70" s="64"/>
      <c r="BA70" s="64" t="n">
        <f aca="false">AL70/SUM($AL70:$AQ70)</f>
        <v>0.00108956199607758</v>
      </c>
      <c r="BB70" s="64" t="n">
        <f aca="false">AM70/SUM($AL70:$AQ70)</f>
        <v>0.00141643059490085</v>
      </c>
      <c r="BC70" s="64" t="n">
        <f aca="false">AN70/SUM($AL70:$AQ70)</f>
        <v>0.00185225539333188</v>
      </c>
      <c r="BD70" s="64" t="n">
        <f aca="false">AO70/SUM($AL70:$AQ70)</f>
        <v>0.00414033558509479</v>
      </c>
      <c r="BE70" s="64" t="n">
        <f aca="false">AP70/SUM($AL70:$AQ70)</f>
        <v>0.762693397254304</v>
      </c>
      <c r="BF70" s="64" t="n">
        <f aca="false">AQ70/SUM($AL70:$AQ70)</f>
        <v>0.228808019176291</v>
      </c>
      <c r="BG70" s="65" t="e">
        <f aca="false">#N/A</f>
        <v>#N/A</v>
      </c>
      <c r="BH70" s="37" t="s">
        <v>393</v>
      </c>
      <c r="BI70" s="37" t="s">
        <v>394</v>
      </c>
      <c r="BJ70" s="37" t="s">
        <v>594</v>
      </c>
      <c r="BK70" s="40" t="s">
        <v>4</v>
      </c>
      <c r="BL70" s="37" t="s">
        <v>4</v>
      </c>
      <c r="BM70" s="37" t="s">
        <v>397</v>
      </c>
      <c r="BN70" s="37" t="s">
        <v>397</v>
      </c>
      <c r="BO70" s="37" t="s">
        <v>595</v>
      </c>
      <c r="BP70" s="37" t="s">
        <v>397</v>
      </c>
      <c r="BQ70" s="37" t="s">
        <v>397</v>
      </c>
      <c r="BR70" s="37" t="s">
        <v>405</v>
      </c>
      <c r="BS70" s="37" t="s">
        <v>405</v>
      </c>
      <c r="BT70" s="37" t="s">
        <v>596</v>
      </c>
      <c r="BU70" s="37" t="s">
        <v>597</v>
      </c>
      <c r="BV70" s="37" t="s">
        <v>598</v>
      </c>
      <c r="BW70" s="37" t="s">
        <v>402</v>
      </c>
    </row>
    <row r="71" customFormat="false" ht="14.9" hidden="false" customHeight="false" outlineLevel="0" collapsed="false">
      <c r="A71" s="37" t="s">
        <v>603</v>
      </c>
      <c r="B71" s="62" t="s">
        <v>204</v>
      </c>
      <c r="C71" s="37" t="s">
        <v>203</v>
      </c>
      <c r="D71" s="37" t="n">
        <f aca="false">INDEX(Strain_IDs!C:C,MATCH(Table1[[#This Row],[Strains]],Strain_IDs!D:D,0))</f>
        <v>15</v>
      </c>
      <c r="E71" s="37" t="s">
        <v>382</v>
      </c>
      <c r="F71" s="37" t="s">
        <v>20</v>
      </c>
      <c r="G71" s="37" t="s">
        <v>21</v>
      </c>
      <c r="H71" s="37" t="s">
        <v>28</v>
      </c>
      <c r="I71" s="37" t="s">
        <v>520</v>
      </c>
      <c r="J71" s="37"/>
      <c r="K71" s="37" t="s">
        <v>384</v>
      </c>
      <c r="L71" s="37" t="s">
        <v>20</v>
      </c>
      <c r="M71" s="37" t="s">
        <v>21</v>
      </c>
      <c r="N71" s="37" t="s">
        <v>28</v>
      </c>
      <c r="O71" s="37" t="s">
        <v>520</v>
      </c>
      <c r="P71" s="37"/>
      <c r="Q71" s="37" t="s">
        <v>386</v>
      </c>
      <c r="R71" s="37" t="s">
        <v>207</v>
      </c>
      <c r="S71" s="37" t="s">
        <v>208</v>
      </c>
      <c r="T71" s="37" t="s">
        <v>387</v>
      </c>
      <c r="U71" s="37"/>
      <c r="V71" s="37"/>
      <c r="W71" s="37" t="s">
        <v>604</v>
      </c>
      <c r="X71" s="37" t="n">
        <v>46</v>
      </c>
      <c r="Y71" s="37"/>
      <c r="Z71" s="37" t="n">
        <v>7.8</v>
      </c>
      <c r="AA71" s="37"/>
      <c r="AB71" s="37"/>
      <c r="AC71" s="37"/>
      <c r="AD71" s="37"/>
      <c r="AE71" s="37"/>
      <c r="AF71" s="37" t="s">
        <v>389</v>
      </c>
      <c r="AG71" s="62" t="s">
        <v>446</v>
      </c>
      <c r="AH71" s="63" t="s">
        <v>461</v>
      </c>
      <c r="AI71" s="62"/>
      <c r="AJ71" s="37" t="s">
        <v>448</v>
      </c>
      <c r="AK71" s="37" t="n">
        <f aca="false">SUM(Table1[[#This Row],[reported_1302]:[reported_1286_iso]])</f>
        <v>86.81</v>
      </c>
      <c r="AL71" s="64" t="n">
        <v>0.12</v>
      </c>
      <c r="AM71" s="64" t="n">
        <v>0.14</v>
      </c>
      <c r="AN71" s="64" t="n">
        <v>0.17</v>
      </c>
      <c r="AO71" s="64" t="n">
        <v>0.38</v>
      </c>
      <c r="AP71" s="64" t="n">
        <v>65</v>
      </c>
      <c r="AQ71" s="64" t="n">
        <v>19</v>
      </c>
      <c r="AR71" s="64" t="n">
        <v>2</v>
      </c>
      <c r="AS71" s="64"/>
      <c r="AT71" s="64"/>
      <c r="AU71" s="64"/>
      <c r="AV71" s="64"/>
      <c r="AW71" s="64"/>
      <c r="AX71" s="64"/>
      <c r="AY71" s="64"/>
      <c r="AZ71" s="64"/>
      <c r="BA71" s="64" t="n">
        <f aca="false">AL71/SUM($AL71:$AQ71)</f>
        <v>0.0014149274849664</v>
      </c>
      <c r="BB71" s="64" t="n">
        <f aca="false">AM71/SUM($AL71:$AQ71)</f>
        <v>0.00165074873246079</v>
      </c>
      <c r="BC71" s="64" t="n">
        <f aca="false">AN71/SUM($AL71:$AQ71)</f>
        <v>0.00200448060370239</v>
      </c>
      <c r="BD71" s="64" t="n">
        <f aca="false">AO71/SUM($AL71:$AQ71)</f>
        <v>0.00448060370239359</v>
      </c>
      <c r="BE71" s="64" t="n">
        <f aca="false">AP71/SUM($AL71:$AQ71)</f>
        <v>0.766419054356798</v>
      </c>
      <c r="BF71" s="64" t="n">
        <f aca="false">AQ71/SUM($AL71:$AQ71)</f>
        <v>0.224030185119679</v>
      </c>
      <c r="BG71" s="65" t="e">
        <f aca="false">#N/A</f>
        <v>#N/A</v>
      </c>
      <c r="BH71" s="37" t="s">
        <v>393</v>
      </c>
      <c r="BI71" s="37" t="s">
        <v>394</v>
      </c>
      <c r="BJ71" s="37" t="s">
        <v>594</v>
      </c>
      <c r="BK71" s="40" t="s">
        <v>4</v>
      </c>
      <c r="BL71" s="37" t="s">
        <v>4</v>
      </c>
      <c r="BM71" s="37" t="s">
        <v>397</v>
      </c>
      <c r="BN71" s="37" t="s">
        <v>397</v>
      </c>
      <c r="BO71" s="37" t="s">
        <v>595</v>
      </c>
      <c r="BP71" s="37" t="s">
        <v>397</v>
      </c>
      <c r="BQ71" s="37" t="s">
        <v>397</v>
      </c>
      <c r="BR71" s="37" t="s">
        <v>405</v>
      </c>
      <c r="BS71" s="37" t="s">
        <v>405</v>
      </c>
      <c r="BT71" s="37" t="s">
        <v>596</v>
      </c>
      <c r="BU71" s="37" t="s">
        <v>597</v>
      </c>
      <c r="BV71" s="37" t="s">
        <v>598</v>
      </c>
      <c r="BW71" s="37" t="s">
        <v>402</v>
      </c>
    </row>
    <row r="72" customFormat="false" ht="14.9" hidden="false" customHeight="false" outlineLevel="0" collapsed="false">
      <c r="A72" s="37" t="s">
        <v>605</v>
      </c>
      <c r="B72" s="62" t="s">
        <v>130</v>
      </c>
      <c r="C72" s="37" t="s">
        <v>129</v>
      </c>
      <c r="D72" s="37" t="n">
        <f aca="false">INDEX(Strain_IDs!C:C,MATCH(Table1[[#This Row],[Strains]],Strain_IDs!D:D,0))</f>
        <v>7</v>
      </c>
      <c r="E72" s="37" t="s">
        <v>382</v>
      </c>
      <c r="F72" s="37" t="s">
        <v>20</v>
      </c>
      <c r="G72" s="37" t="s">
        <v>21</v>
      </c>
      <c r="H72" s="37" t="s">
        <v>27</v>
      </c>
      <c r="I72" s="37" t="s">
        <v>455</v>
      </c>
      <c r="J72" s="37" t="s">
        <v>480</v>
      </c>
      <c r="K72" s="37" t="s">
        <v>384</v>
      </c>
      <c r="L72" s="37" t="s">
        <v>20</v>
      </c>
      <c r="M72" s="37" t="s">
        <v>385</v>
      </c>
      <c r="N72" s="37" t="s">
        <v>27</v>
      </c>
      <c r="O72" s="40" t="s">
        <v>455</v>
      </c>
      <c r="P72" s="40" t="s">
        <v>480</v>
      </c>
      <c r="Q72" s="37" t="s">
        <v>456</v>
      </c>
      <c r="R72" s="37" t="s">
        <v>62</v>
      </c>
      <c r="S72" s="37" t="s">
        <v>63</v>
      </c>
      <c r="T72" s="37" t="s">
        <v>387</v>
      </c>
      <c r="U72" s="37" t="s">
        <v>133</v>
      </c>
      <c r="V72" s="37" t="s">
        <v>134</v>
      </c>
      <c r="W72" s="37" t="s">
        <v>606</v>
      </c>
      <c r="X72" s="37" t="n">
        <v>15</v>
      </c>
      <c r="Y72" s="37"/>
      <c r="Z72" s="37"/>
      <c r="AA72" s="37"/>
      <c r="AB72" s="37"/>
      <c r="AC72" s="37"/>
      <c r="AD72" s="37"/>
      <c r="AE72" s="37"/>
      <c r="AF72" s="37" t="s">
        <v>389</v>
      </c>
      <c r="AG72" s="62" t="s">
        <v>446</v>
      </c>
      <c r="AH72" s="63" t="s">
        <v>461</v>
      </c>
      <c r="AI72" s="62" t="n">
        <v>0.22</v>
      </c>
      <c r="AJ72" s="37" t="s">
        <v>607</v>
      </c>
      <c r="AK72" s="37" t="n">
        <f aca="false">SUM(Table1[[#This Row],[reported_1302]:[reported_1286_iso]])</f>
        <v>100</v>
      </c>
      <c r="AL72" s="64" t="n">
        <v>27.86</v>
      </c>
      <c r="AM72" s="64" t="n">
        <v>15.47</v>
      </c>
      <c r="AN72" s="64" t="n">
        <v>8.57</v>
      </c>
      <c r="AO72" s="64" t="n">
        <v>4.28</v>
      </c>
      <c r="AP72" s="64" t="n">
        <v>43.67</v>
      </c>
      <c r="AQ72" s="64" t="n">
        <v>0.15</v>
      </c>
      <c r="AR72" s="64"/>
      <c r="AS72" s="64"/>
      <c r="AT72" s="64"/>
      <c r="AU72" s="64"/>
      <c r="AV72" s="64"/>
      <c r="AW72" s="64"/>
      <c r="AX72" s="64"/>
      <c r="AY72" s="64"/>
      <c r="AZ72" s="64"/>
      <c r="BA72" s="64" t="n">
        <f aca="false">AL72/SUM($AL72:$AQ72)</f>
        <v>0.2786</v>
      </c>
      <c r="BB72" s="64" t="n">
        <f aca="false">AM72/SUM($AL72:$AQ72)</f>
        <v>0.1547</v>
      </c>
      <c r="BC72" s="64" t="n">
        <f aca="false">AN72/SUM($AL72:$AQ72)</f>
        <v>0.0857</v>
      </c>
      <c r="BD72" s="64" t="n">
        <f aca="false">AO72/SUM($AL72:$AQ72)</f>
        <v>0.0428</v>
      </c>
      <c r="BE72" s="64" t="n">
        <f aca="false">AP72/SUM($AL72:$AQ72)</f>
        <v>0.4367</v>
      </c>
      <c r="BF72" s="64" t="n">
        <f aca="false">AQ72/SUM($AL72:$AQ72)</f>
        <v>0.0015</v>
      </c>
      <c r="BG72" s="65" t="e">
        <f aca="false">#N/A</f>
        <v>#N/A</v>
      </c>
      <c r="BH72" s="37" t="s">
        <v>393</v>
      </c>
      <c r="BI72" s="37" t="s">
        <v>463</v>
      </c>
      <c r="BJ72" s="37" t="s">
        <v>608</v>
      </c>
      <c r="BK72" s="40" t="s">
        <v>4</v>
      </c>
      <c r="BL72" s="37" t="s">
        <v>4</v>
      </c>
      <c r="BM72" s="37" t="s">
        <v>397</v>
      </c>
      <c r="BN72" s="37" t="s">
        <v>397</v>
      </c>
      <c r="BO72" s="37" t="s">
        <v>595</v>
      </c>
      <c r="BP72" s="37" t="s">
        <v>397</v>
      </c>
      <c r="BQ72" s="37" t="s">
        <v>397</v>
      </c>
      <c r="BR72" s="37" t="s">
        <v>405</v>
      </c>
      <c r="BS72" s="37" t="s">
        <v>405</v>
      </c>
      <c r="BT72" s="37" t="s">
        <v>67</v>
      </c>
      <c r="BU72" s="37" t="s">
        <v>609</v>
      </c>
      <c r="BV72" s="37" t="s">
        <v>68</v>
      </c>
      <c r="BW72" s="37" t="s">
        <v>402</v>
      </c>
    </row>
    <row r="73" customFormat="false" ht="14.9" hidden="false" customHeight="false" outlineLevel="0" collapsed="false">
      <c r="A73" s="37" t="s">
        <v>610</v>
      </c>
      <c r="B73" s="62" t="s">
        <v>130</v>
      </c>
      <c r="C73" s="37" t="s">
        <v>129</v>
      </c>
      <c r="D73" s="37" t="n">
        <f aca="false">INDEX(Strain_IDs!C:C,MATCH(Table1[[#This Row],[Strains]],Strain_IDs!D:D,0))</f>
        <v>7</v>
      </c>
      <c r="E73" s="37" t="s">
        <v>382</v>
      </c>
      <c r="F73" s="37" t="s">
        <v>20</v>
      </c>
      <c r="G73" s="37" t="s">
        <v>21</v>
      </c>
      <c r="H73" s="37" t="s">
        <v>27</v>
      </c>
      <c r="I73" s="37" t="s">
        <v>455</v>
      </c>
      <c r="J73" s="37" t="s">
        <v>480</v>
      </c>
      <c r="K73" s="37" t="s">
        <v>384</v>
      </c>
      <c r="L73" s="37" t="s">
        <v>20</v>
      </c>
      <c r="M73" s="37" t="s">
        <v>385</v>
      </c>
      <c r="N73" s="37" t="s">
        <v>27</v>
      </c>
      <c r="O73" s="40" t="s">
        <v>455</v>
      </c>
      <c r="P73" s="40" t="s">
        <v>480</v>
      </c>
      <c r="Q73" s="37" t="s">
        <v>456</v>
      </c>
      <c r="R73" s="37" t="s">
        <v>62</v>
      </c>
      <c r="S73" s="37" t="s">
        <v>63</v>
      </c>
      <c r="T73" s="37" t="s">
        <v>387</v>
      </c>
      <c r="U73" s="37" t="s">
        <v>133</v>
      </c>
      <c r="V73" s="37" t="s">
        <v>134</v>
      </c>
      <c r="W73" s="37" t="s">
        <v>611</v>
      </c>
      <c r="X73" s="37" t="n">
        <v>20</v>
      </c>
      <c r="Y73" s="37"/>
      <c r="Z73" s="37"/>
      <c r="AA73" s="37"/>
      <c r="AB73" s="37"/>
      <c r="AC73" s="37"/>
      <c r="AD73" s="37"/>
      <c r="AE73" s="37"/>
      <c r="AF73" s="37" t="s">
        <v>389</v>
      </c>
      <c r="AG73" s="62" t="s">
        <v>446</v>
      </c>
      <c r="AH73" s="63" t="s">
        <v>461</v>
      </c>
      <c r="AI73" s="62" t="n">
        <v>0.22</v>
      </c>
      <c r="AJ73" s="37" t="s">
        <v>607</v>
      </c>
      <c r="AK73" s="37" t="n">
        <f aca="false">SUM(Table1[[#This Row],[reported_1302]:[reported_1286_iso]])</f>
        <v>100</v>
      </c>
      <c r="AL73" s="64" t="n">
        <v>22.76</v>
      </c>
      <c r="AM73" s="64" t="n">
        <v>13.91</v>
      </c>
      <c r="AN73" s="64" t="n">
        <v>10.84</v>
      </c>
      <c r="AO73" s="64" t="n">
        <v>4.26</v>
      </c>
      <c r="AP73" s="64" t="n">
        <v>47.99</v>
      </c>
      <c r="AQ73" s="64" t="n">
        <v>0.24</v>
      </c>
      <c r="AR73" s="64"/>
      <c r="AS73" s="64"/>
      <c r="AT73" s="64"/>
      <c r="AU73" s="64"/>
      <c r="AV73" s="64"/>
      <c r="AW73" s="64"/>
      <c r="AX73" s="64"/>
      <c r="AY73" s="64"/>
      <c r="AZ73" s="64"/>
      <c r="BA73" s="64" t="n">
        <f aca="false">AL73/SUM($AL73:$AQ73)</f>
        <v>0.2276</v>
      </c>
      <c r="BB73" s="64" t="n">
        <f aca="false">AM73/SUM($AL73:$AQ73)</f>
        <v>0.1391</v>
      </c>
      <c r="BC73" s="64" t="n">
        <f aca="false">AN73/SUM($AL73:$AQ73)</f>
        <v>0.1084</v>
      </c>
      <c r="BD73" s="64" t="n">
        <f aca="false">AO73/SUM($AL73:$AQ73)</f>
        <v>0.0426</v>
      </c>
      <c r="BE73" s="64" t="n">
        <f aca="false">AP73/SUM($AL73:$AQ73)</f>
        <v>0.4799</v>
      </c>
      <c r="BF73" s="64" t="n">
        <f aca="false">AQ73/SUM($AL73:$AQ73)</f>
        <v>0.0024</v>
      </c>
      <c r="BG73" s="65" t="e">
        <f aca="false">#N/A</f>
        <v>#N/A</v>
      </c>
      <c r="BH73" s="37" t="s">
        <v>393</v>
      </c>
      <c r="BI73" s="37" t="s">
        <v>463</v>
      </c>
      <c r="BJ73" s="37" t="s">
        <v>608</v>
      </c>
      <c r="BK73" s="40" t="s">
        <v>4</v>
      </c>
      <c r="BL73" s="37" t="s">
        <v>4</v>
      </c>
      <c r="BM73" s="37" t="s">
        <v>397</v>
      </c>
      <c r="BN73" s="37" t="s">
        <v>397</v>
      </c>
      <c r="BO73" s="37" t="s">
        <v>595</v>
      </c>
      <c r="BP73" s="37" t="s">
        <v>397</v>
      </c>
      <c r="BQ73" s="37" t="s">
        <v>397</v>
      </c>
      <c r="BR73" s="37" t="s">
        <v>405</v>
      </c>
      <c r="BS73" s="37" t="s">
        <v>405</v>
      </c>
      <c r="BT73" s="37" t="s">
        <v>67</v>
      </c>
      <c r="BU73" s="37" t="s">
        <v>609</v>
      </c>
      <c r="BV73" s="37" t="s">
        <v>68</v>
      </c>
      <c r="BW73" s="37" t="s">
        <v>402</v>
      </c>
    </row>
    <row r="74" customFormat="false" ht="14.9" hidden="false" customHeight="false" outlineLevel="0" collapsed="false">
      <c r="A74" s="37" t="s">
        <v>612</v>
      </c>
      <c r="B74" s="62" t="s">
        <v>130</v>
      </c>
      <c r="C74" s="37" t="s">
        <v>129</v>
      </c>
      <c r="D74" s="37" t="n">
        <f aca="false">INDEX(Strain_IDs!C:C,MATCH(Table1[[#This Row],[Strains]],Strain_IDs!D:D,0))</f>
        <v>7</v>
      </c>
      <c r="E74" s="37" t="s">
        <v>382</v>
      </c>
      <c r="F74" s="37" t="s">
        <v>20</v>
      </c>
      <c r="G74" s="37" t="s">
        <v>21</v>
      </c>
      <c r="H74" s="37" t="s">
        <v>27</v>
      </c>
      <c r="I74" s="37" t="s">
        <v>455</v>
      </c>
      <c r="J74" s="37" t="s">
        <v>480</v>
      </c>
      <c r="K74" s="37" t="s">
        <v>384</v>
      </c>
      <c r="L74" s="37" t="s">
        <v>20</v>
      </c>
      <c r="M74" s="37" t="s">
        <v>385</v>
      </c>
      <c r="N74" s="37" t="s">
        <v>27</v>
      </c>
      <c r="O74" s="40" t="s">
        <v>455</v>
      </c>
      <c r="P74" s="40" t="s">
        <v>480</v>
      </c>
      <c r="Q74" s="37" t="s">
        <v>456</v>
      </c>
      <c r="R74" s="37" t="s">
        <v>62</v>
      </c>
      <c r="S74" s="37" t="s">
        <v>63</v>
      </c>
      <c r="T74" s="37" t="s">
        <v>387</v>
      </c>
      <c r="U74" s="37" t="s">
        <v>133</v>
      </c>
      <c r="V74" s="37" t="s">
        <v>134</v>
      </c>
      <c r="W74" s="37" t="s">
        <v>613</v>
      </c>
      <c r="X74" s="37" t="n">
        <v>25</v>
      </c>
      <c r="Y74" s="37"/>
      <c r="Z74" s="37"/>
      <c r="AA74" s="37"/>
      <c r="AB74" s="37"/>
      <c r="AC74" s="37"/>
      <c r="AD74" s="37"/>
      <c r="AE74" s="37"/>
      <c r="AF74" s="37" t="s">
        <v>389</v>
      </c>
      <c r="AG74" s="62" t="s">
        <v>446</v>
      </c>
      <c r="AH74" s="63" t="s">
        <v>461</v>
      </c>
      <c r="AI74" s="62" t="n">
        <v>0.22</v>
      </c>
      <c r="AJ74" s="37" t="s">
        <v>607</v>
      </c>
      <c r="AK74" s="37" t="n">
        <f aca="false">SUM(Table1[[#This Row],[reported_1302]:[reported_1286_iso]])</f>
        <v>100</v>
      </c>
      <c r="AL74" s="64" t="n">
        <v>21.62</v>
      </c>
      <c r="AM74" s="64" t="n">
        <v>12.02</v>
      </c>
      <c r="AN74" s="64" t="n">
        <v>7.32</v>
      </c>
      <c r="AO74" s="64" t="n">
        <v>4.76</v>
      </c>
      <c r="AP74" s="64" t="n">
        <v>53.91</v>
      </c>
      <c r="AQ74" s="64" t="n">
        <v>0.37</v>
      </c>
      <c r="AR74" s="64"/>
      <c r="AS74" s="64"/>
      <c r="AT74" s="64"/>
      <c r="AU74" s="64"/>
      <c r="AV74" s="64"/>
      <c r="AW74" s="64"/>
      <c r="AX74" s="64"/>
      <c r="AY74" s="64"/>
      <c r="AZ74" s="64"/>
      <c r="BA74" s="64" t="n">
        <f aca="false">AL74/SUM($AL74:$AQ74)</f>
        <v>0.2162</v>
      </c>
      <c r="BB74" s="64" t="n">
        <f aca="false">AM74/SUM($AL74:$AQ74)</f>
        <v>0.1202</v>
      </c>
      <c r="BC74" s="64" t="n">
        <f aca="false">AN74/SUM($AL74:$AQ74)</f>
        <v>0.0732</v>
      </c>
      <c r="BD74" s="64" t="n">
        <f aca="false">AO74/SUM($AL74:$AQ74)</f>
        <v>0.0476</v>
      </c>
      <c r="BE74" s="64" t="n">
        <f aca="false">AP74/SUM($AL74:$AQ74)</f>
        <v>0.5391</v>
      </c>
      <c r="BF74" s="64" t="n">
        <f aca="false">AQ74/SUM($AL74:$AQ74)</f>
        <v>0.0037</v>
      </c>
      <c r="BG74" s="65" t="e">
        <f aca="false">#N/A</f>
        <v>#N/A</v>
      </c>
      <c r="BH74" s="37" t="s">
        <v>393</v>
      </c>
      <c r="BI74" s="37" t="s">
        <v>463</v>
      </c>
      <c r="BJ74" s="37" t="s">
        <v>608</v>
      </c>
      <c r="BK74" s="40" t="s">
        <v>4</v>
      </c>
      <c r="BL74" s="37" t="s">
        <v>4</v>
      </c>
      <c r="BM74" s="37" t="s">
        <v>397</v>
      </c>
      <c r="BN74" s="37" t="s">
        <v>397</v>
      </c>
      <c r="BO74" s="37" t="s">
        <v>595</v>
      </c>
      <c r="BP74" s="37" t="s">
        <v>397</v>
      </c>
      <c r="BQ74" s="37" t="s">
        <v>397</v>
      </c>
      <c r="BR74" s="37" t="s">
        <v>405</v>
      </c>
      <c r="BS74" s="37" t="s">
        <v>405</v>
      </c>
      <c r="BT74" s="37" t="s">
        <v>67</v>
      </c>
      <c r="BU74" s="37" t="s">
        <v>609</v>
      </c>
      <c r="BV74" s="37" t="s">
        <v>68</v>
      </c>
      <c r="BW74" s="37" t="s">
        <v>402</v>
      </c>
    </row>
    <row r="75" customFormat="false" ht="14.9" hidden="false" customHeight="false" outlineLevel="0" collapsed="false">
      <c r="A75" s="37" t="s">
        <v>614</v>
      </c>
      <c r="B75" s="62" t="s">
        <v>130</v>
      </c>
      <c r="C75" s="37" t="s">
        <v>129</v>
      </c>
      <c r="D75" s="37" t="n">
        <f aca="false">INDEX(Strain_IDs!C:C,MATCH(Table1[[#This Row],[Strains]],Strain_IDs!D:D,0))</f>
        <v>7</v>
      </c>
      <c r="E75" s="37" t="s">
        <v>382</v>
      </c>
      <c r="F75" s="37" t="s">
        <v>20</v>
      </c>
      <c r="G75" s="37" t="s">
        <v>21</v>
      </c>
      <c r="H75" s="37" t="s">
        <v>27</v>
      </c>
      <c r="I75" s="37" t="s">
        <v>455</v>
      </c>
      <c r="J75" s="37" t="s">
        <v>480</v>
      </c>
      <c r="K75" s="37" t="s">
        <v>384</v>
      </c>
      <c r="L75" s="37" t="s">
        <v>20</v>
      </c>
      <c r="M75" s="37" t="s">
        <v>385</v>
      </c>
      <c r="N75" s="37" t="s">
        <v>27</v>
      </c>
      <c r="O75" s="40" t="s">
        <v>455</v>
      </c>
      <c r="P75" s="40" t="s">
        <v>480</v>
      </c>
      <c r="Q75" s="37" t="s">
        <v>456</v>
      </c>
      <c r="R75" s="37" t="s">
        <v>62</v>
      </c>
      <c r="S75" s="37" t="s">
        <v>63</v>
      </c>
      <c r="T75" s="37" t="s">
        <v>387</v>
      </c>
      <c r="U75" s="37" t="s">
        <v>133</v>
      </c>
      <c r="V75" s="37" t="s">
        <v>134</v>
      </c>
      <c r="W75" s="37" t="s">
        <v>615</v>
      </c>
      <c r="X75" s="37" t="n">
        <v>30</v>
      </c>
      <c r="Y75" s="37"/>
      <c r="Z75" s="37"/>
      <c r="AA75" s="37"/>
      <c r="AB75" s="37"/>
      <c r="AC75" s="37"/>
      <c r="AD75" s="37"/>
      <c r="AE75" s="37"/>
      <c r="AF75" s="37" t="s">
        <v>389</v>
      </c>
      <c r="AG75" s="62" t="s">
        <v>446</v>
      </c>
      <c r="AH75" s="63" t="s">
        <v>461</v>
      </c>
      <c r="AI75" s="62" t="n">
        <v>0.22</v>
      </c>
      <c r="AJ75" s="37" t="s">
        <v>607</v>
      </c>
      <c r="AK75" s="37" t="n">
        <f aca="false">SUM(Table1[[#This Row],[reported_1302]:[reported_1286_iso]])</f>
        <v>100</v>
      </c>
      <c r="AL75" s="64" t="n">
        <v>13.47</v>
      </c>
      <c r="AM75" s="64" t="n">
        <v>9.63</v>
      </c>
      <c r="AN75" s="64" t="n">
        <v>9.37</v>
      </c>
      <c r="AO75" s="64" t="n">
        <v>4.37</v>
      </c>
      <c r="AP75" s="64" t="n">
        <v>62.58</v>
      </c>
      <c r="AQ75" s="64" t="n">
        <v>0.58</v>
      </c>
      <c r="AR75" s="64"/>
      <c r="AS75" s="64"/>
      <c r="AT75" s="64"/>
      <c r="AU75" s="64"/>
      <c r="AV75" s="64"/>
      <c r="AW75" s="64"/>
      <c r="AX75" s="64"/>
      <c r="AY75" s="64"/>
      <c r="AZ75" s="64"/>
      <c r="BA75" s="64" t="n">
        <f aca="false">AL75/SUM($AL75:$AQ75)</f>
        <v>0.1347</v>
      </c>
      <c r="BB75" s="64" t="n">
        <f aca="false">AM75/SUM($AL75:$AQ75)</f>
        <v>0.0963</v>
      </c>
      <c r="BC75" s="64" t="n">
        <f aca="false">AN75/SUM($AL75:$AQ75)</f>
        <v>0.0937</v>
      </c>
      <c r="BD75" s="64" t="n">
        <f aca="false">AO75/SUM($AL75:$AQ75)</f>
        <v>0.0437</v>
      </c>
      <c r="BE75" s="64" t="n">
        <f aca="false">AP75/SUM($AL75:$AQ75)</f>
        <v>0.6258</v>
      </c>
      <c r="BF75" s="64" t="n">
        <f aca="false">AQ75/SUM($AL75:$AQ75)</f>
        <v>0.0058</v>
      </c>
      <c r="BG75" s="65" t="e">
        <f aca="false">#N/A</f>
        <v>#N/A</v>
      </c>
      <c r="BH75" s="37" t="s">
        <v>393</v>
      </c>
      <c r="BI75" s="37" t="s">
        <v>463</v>
      </c>
      <c r="BJ75" s="37" t="s">
        <v>608</v>
      </c>
      <c r="BK75" s="40" t="s">
        <v>4</v>
      </c>
      <c r="BL75" s="37" t="s">
        <v>4</v>
      </c>
      <c r="BM75" s="37" t="s">
        <v>397</v>
      </c>
      <c r="BN75" s="37" t="s">
        <v>397</v>
      </c>
      <c r="BO75" s="37" t="s">
        <v>595</v>
      </c>
      <c r="BP75" s="37" t="s">
        <v>397</v>
      </c>
      <c r="BQ75" s="37" t="s">
        <v>397</v>
      </c>
      <c r="BR75" s="37" t="s">
        <v>405</v>
      </c>
      <c r="BS75" s="37" t="s">
        <v>405</v>
      </c>
      <c r="BT75" s="37" t="s">
        <v>67</v>
      </c>
      <c r="BU75" s="37" t="s">
        <v>609</v>
      </c>
      <c r="BV75" s="37" t="s">
        <v>68</v>
      </c>
      <c r="BW75" s="37" t="s">
        <v>402</v>
      </c>
    </row>
    <row r="76" customFormat="false" ht="14.9" hidden="false" customHeight="false" outlineLevel="0" collapsed="false">
      <c r="A76" s="37" t="s">
        <v>616</v>
      </c>
      <c r="B76" s="62" t="s">
        <v>130</v>
      </c>
      <c r="C76" s="37" t="s">
        <v>129</v>
      </c>
      <c r="D76" s="37" t="n">
        <f aca="false">INDEX(Strain_IDs!C:C,MATCH(Table1[[#This Row],[Strains]],Strain_IDs!D:D,0))</f>
        <v>7</v>
      </c>
      <c r="E76" s="37" t="s">
        <v>382</v>
      </c>
      <c r="F76" s="37" t="s">
        <v>20</v>
      </c>
      <c r="G76" s="37" t="s">
        <v>21</v>
      </c>
      <c r="H76" s="37" t="s">
        <v>27</v>
      </c>
      <c r="I76" s="37" t="s">
        <v>455</v>
      </c>
      <c r="J76" s="37" t="s">
        <v>480</v>
      </c>
      <c r="K76" s="37" t="s">
        <v>384</v>
      </c>
      <c r="L76" s="37" t="s">
        <v>20</v>
      </c>
      <c r="M76" s="37" t="s">
        <v>385</v>
      </c>
      <c r="N76" s="37" t="s">
        <v>27</v>
      </c>
      <c r="O76" s="40" t="s">
        <v>455</v>
      </c>
      <c r="P76" s="40" t="s">
        <v>480</v>
      </c>
      <c r="Q76" s="37" t="s">
        <v>456</v>
      </c>
      <c r="R76" s="37" t="s">
        <v>62</v>
      </c>
      <c r="S76" s="37" t="s">
        <v>63</v>
      </c>
      <c r="T76" s="37" t="s">
        <v>387</v>
      </c>
      <c r="U76" s="37" t="s">
        <v>133</v>
      </c>
      <c r="V76" s="37" t="s">
        <v>134</v>
      </c>
      <c r="W76" s="37" t="s">
        <v>617</v>
      </c>
      <c r="X76" s="37" t="n">
        <v>33</v>
      </c>
      <c r="Y76" s="37"/>
      <c r="Z76" s="37"/>
      <c r="AA76" s="37"/>
      <c r="AB76" s="37"/>
      <c r="AC76" s="37"/>
      <c r="AD76" s="37"/>
      <c r="AE76" s="37"/>
      <c r="AF76" s="37" t="s">
        <v>389</v>
      </c>
      <c r="AG76" s="62" t="s">
        <v>446</v>
      </c>
      <c r="AH76" s="63" t="s">
        <v>461</v>
      </c>
      <c r="AI76" s="62" t="n">
        <v>0.22</v>
      </c>
      <c r="AJ76" s="37" t="s">
        <v>607</v>
      </c>
      <c r="AK76" s="37" t="n">
        <f aca="false">SUM(Table1[[#This Row],[reported_1302]:[reported_1286_iso]])</f>
        <v>100</v>
      </c>
      <c r="AL76" s="64" t="n">
        <v>6.04</v>
      </c>
      <c r="AM76" s="64" t="n">
        <v>6.14</v>
      </c>
      <c r="AN76" s="64" t="n">
        <v>11.97</v>
      </c>
      <c r="AO76" s="64" t="n">
        <v>3.56</v>
      </c>
      <c r="AP76" s="64" t="n">
        <v>71.73</v>
      </c>
      <c r="AQ76" s="64" t="n">
        <v>0.56</v>
      </c>
      <c r="AR76" s="64"/>
      <c r="AS76" s="64"/>
      <c r="AT76" s="64"/>
      <c r="AU76" s="64"/>
      <c r="AV76" s="64"/>
      <c r="AW76" s="64"/>
      <c r="AX76" s="64"/>
      <c r="AY76" s="64"/>
      <c r="AZ76" s="64"/>
      <c r="BA76" s="64" t="n">
        <f aca="false">AL76/SUM($AL76:$AQ76)</f>
        <v>0.0604</v>
      </c>
      <c r="BB76" s="64" t="n">
        <f aca="false">AM76/SUM($AL76:$AQ76)</f>
        <v>0.0614</v>
      </c>
      <c r="BC76" s="64" t="n">
        <f aca="false">AN76/SUM($AL76:$AQ76)</f>
        <v>0.1197</v>
      </c>
      <c r="BD76" s="64" t="n">
        <f aca="false">AO76/SUM($AL76:$AQ76)</f>
        <v>0.0356</v>
      </c>
      <c r="BE76" s="64" t="n">
        <f aca="false">AP76/SUM($AL76:$AQ76)</f>
        <v>0.7173</v>
      </c>
      <c r="BF76" s="64" t="n">
        <f aca="false">AQ76/SUM($AL76:$AQ76)</f>
        <v>0.0056</v>
      </c>
      <c r="BG76" s="65" t="e">
        <f aca="false">#N/A</f>
        <v>#N/A</v>
      </c>
      <c r="BH76" s="37" t="s">
        <v>393</v>
      </c>
      <c r="BI76" s="37" t="s">
        <v>463</v>
      </c>
      <c r="BJ76" s="37" t="s">
        <v>608</v>
      </c>
      <c r="BK76" s="40" t="s">
        <v>4</v>
      </c>
      <c r="BL76" s="37" t="s">
        <v>4</v>
      </c>
      <c r="BM76" s="37" t="s">
        <v>397</v>
      </c>
      <c r="BN76" s="37" t="s">
        <v>397</v>
      </c>
      <c r="BO76" s="37" t="s">
        <v>595</v>
      </c>
      <c r="BP76" s="37" t="s">
        <v>397</v>
      </c>
      <c r="BQ76" s="37" t="s">
        <v>397</v>
      </c>
      <c r="BR76" s="37" t="s">
        <v>405</v>
      </c>
      <c r="BS76" s="37" t="s">
        <v>405</v>
      </c>
      <c r="BT76" s="37" t="s">
        <v>67</v>
      </c>
      <c r="BU76" s="37" t="s">
        <v>609</v>
      </c>
      <c r="BV76" s="37" t="s">
        <v>68</v>
      </c>
      <c r="BW76" s="37" t="s">
        <v>402</v>
      </c>
    </row>
    <row r="77" customFormat="false" ht="14.9" hidden="false" customHeight="false" outlineLevel="0" collapsed="false">
      <c r="A77" s="37" t="s">
        <v>618</v>
      </c>
      <c r="B77" s="62" t="s">
        <v>130</v>
      </c>
      <c r="C77" s="37" t="s">
        <v>129</v>
      </c>
      <c r="D77" s="37" t="n">
        <f aca="false">INDEX(Strain_IDs!C:C,MATCH(Table1[[#This Row],[Strains]],Strain_IDs!D:D,0))</f>
        <v>7</v>
      </c>
      <c r="E77" s="37" t="s">
        <v>382</v>
      </c>
      <c r="F77" s="37" t="s">
        <v>20</v>
      </c>
      <c r="G77" s="37" t="s">
        <v>21</v>
      </c>
      <c r="H77" s="37" t="s">
        <v>27</v>
      </c>
      <c r="I77" s="37" t="s">
        <v>455</v>
      </c>
      <c r="J77" s="37" t="s">
        <v>480</v>
      </c>
      <c r="K77" s="37" t="s">
        <v>384</v>
      </c>
      <c r="L77" s="37" t="s">
        <v>20</v>
      </c>
      <c r="M77" s="37" t="s">
        <v>385</v>
      </c>
      <c r="N77" s="37" t="s">
        <v>27</v>
      </c>
      <c r="O77" s="40" t="s">
        <v>455</v>
      </c>
      <c r="P77" s="40" t="s">
        <v>480</v>
      </c>
      <c r="Q77" s="37" t="s">
        <v>456</v>
      </c>
      <c r="R77" s="37" t="s">
        <v>62</v>
      </c>
      <c r="S77" s="37" t="s">
        <v>63</v>
      </c>
      <c r="T77" s="37" t="s">
        <v>387</v>
      </c>
      <c r="U77" s="37" t="s">
        <v>133</v>
      </c>
      <c r="V77" s="37" t="s">
        <v>134</v>
      </c>
      <c r="W77" s="37" t="s">
        <v>619</v>
      </c>
      <c r="X77" s="37" t="n">
        <v>35</v>
      </c>
      <c r="Y77" s="37"/>
      <c r="Z77" s="37"/>
      <c r="AA77" s="37"/>
      <c r="AB77" s="37"/>
      <c r="AC77" s="37"/>
      <c r="AD77" s="37"/>
      <c r="AE77" s="37"/>
      <c r="AF77" s="37" t="s">
        <v>389</v>
      </c>
      <c r="AG77" s="62" t="s">
        <v>446</v>
      </c>
      <c r="AH77" s="63" t="s">
        <v>461</v>
      </c>
      <c r="AI77" s="62" t="n">
        <v>0.22</v>
      </c>
      <c r="AJ77" s="37" t="s">
        <v>607</v>
      </c>
      <c r="AK77" s="37" t="n">
        <f aca="false">SUM(Table1[[#This Row],[reported_1302]:[reported_1286_iso]])</f>
        <v>99.99</v>
      </c>
      <c r="AL77" s="64" t="n">
        <v>5.78</v>
      </c>
      <c r="AM77" s="64" t="n">
        <v>4.71</v>
      </c>
      <c r="AN77" s="64" t="n">
        <v>11.26</v>
      </c>
      <c r="AO77" s="64" t="n">
        <v>3.49</v>
      </c>
      <c r="AP77" s="64" t="n">
        <v>73.91</v>
      </c>
      <c r="AQ77" s="64" t="n">
        <v>0.84</v>
      </c>
      <c r="AR77" s="64"/>
      <c r="AS77" s="64"/>
      <c r="AT77" s="64"/>
      <c r="AU77" s="64"/>
      <c r="AV77" s="64"/>
      <c r="AW77" s="64"/>
      <c r="AX77" s="64"/>
      <c r="AY77" s="64"/>
      <c r="AZ77" s="64"/>
      <c r="BA77" s="64" t="n">
        <f aca="false">AL77/SUM($AL77:$AQ77)</f>
        <v>0.0578057805780578</v>
      </c>
      <c r="BB77" s="64" t="n">
        <f aca="false">AM77/SUM($AL77:$AQ77)</f>
        <v>0.0471047104710471</v>
      </c>
      <c r="BC77" s="64" t="n">
        <f aca="false">AN77/SUM($AL77:$AQ77)</f>
        <v>0.112611261126113</v>
      </c>
      <c r="BD77" s="64" t="n">
        <f aca="false">AO77/SUM($AL77:$AQ77)</f>
        <v>0.0349034903490349</v>
      </c>
      <c r="BE77" s="64" t="n">
        <f aca="false">AP77/SUM($AL77:$AQ77)</f>
        <v>0.739173917391739</v>
      </c>
      <c r="BF77" s="64" t="n">
        <f aca="false">AQ77/SUM($AL77:$AQ77)</f>
        <v>0.0084008400840084</v>
      </c>
      <c r="BG77" s="65" t="e">
        <f aca="false">#N/A</f>
        <v>#N/A</v>
      </c>
      <c r="BH77" s="37" t="s">
        <v>393</v>
      </c>
      <c r="BI77" s="37" t="s">
        <v>463</v>
      </c>
      <c r="BJ77" s="37" t="s">
        <v>608</v>
      </c>
      <c r="BK77" s="40" t="s">
        <v>4</v>
      </c>
      <c r="BL77" s="37" t="s">
        <v>4</v>
      </c>
      <c r="BM77" s="37" t="s">
        <v>397</v>
      </c>
      <c r="BN77" s="37" t="s">
        <v>397</v>
      </c>
      <c r="BO77" s="37" t="s">
        <v>595</v>
      </c>
      <c r="BP77" s="37" t="s">
        <v>397</v>
      </c>
      <c r="BQ77" s="37" t="s">
        <v>397</v>
      </c>
      <c r="BR77" s="37" t="s">
        <v>405</v>
      </c>
      <c r="BS77" s="37" t="s">
        <v>405</v>
      </c>
      <c r="BT77" s="37" t="s">
        <v>67</v>
      </c>
      <c r="BU77" s="37" t="s">
        <v>609</v>
      </c>
      <c r="BV77" s="37" t="s">
        <v>68</v>
      </c>
      <c r="BW77" s="37" t="s">
        <v>402</v>
      </c>
    </row>
    <row r="78" customFormat="false" ht="14.9" hidden="false" customHeight="false" outlineLevel="0" collapsed="false">
      <c r="A78" s="37" t="s">
        <v>620</v>
      </c>
      <c r="B78" s="62" t="s">
        <v>73</v>
      </c>
      <c r="C78" s="37" t="s">
        <v>72</v>
      </c>
      <c r="D78" s="37" t="n">
        <f aca="false">INDEX(Strain_IDs!C:C,MATCH(Table1[[#This Row],[Strains]],Strain_IDs!D:D,0))</f>
        <v>2</v>
      </c>
      <c r="E78" s="37" t="s">
        <v>382</v>
      </c>
      <c r="F78" s="37" t="s">
        <v>20</v>
      </c>
      <c r="G78" s="37" t="s">
        <v>21</v>
      </c>
      <c r="H78" s="37" t="s">
        <v>27</v>
      </c>
      <c r="I78" s="37" t="s">
        <v>455</v>
      </c>
      <c r="J78" s="37"/>
      <c r="K78" s="37" t="s">
        <v>384</v>
      </c>
      <c r="L78" s="37" t="s">
        <v>20</v>
      </c>
      <c r="M78" s="37" t="s">
        <v>385</v>
      </c>
      <c r="N78" s="37" t="s">
        <v>27</v>
      </c>
      <c r="O78" s="40" t="s">
        <v>455</v>
      </c>
      <c r="P78" s="40"/>
      <c r="Q78" s="37" t="s">
        <v>456</v>
      </c>
      <c r="R78" s="37" t="s">
        <v>62</v>
      </c>
      <c r="S78" s="37" t="s">
        <v>63</v>
      </c>
      <c r="T78" s="37" t="s">
        <v>387</v>
      </c>
      <c r="U78" s="37"/>
      <c r="V78" s="37"/>
      <c r="W78" s="37" t="s">
        <v>621</v>
      </c>
      <c r="X78" s="37" t="n">
        <v>10</v>
      </c>
      <c r="Y78" s="37"/>
      <c r="Z78" s="37"/>
      <c r="AA78" s="37"/>
      <c r="AB78" s="37"/>
      <c r="AC78" s="37"/>
      <c r="AD78" s="37"/>
      <c r="AE78" s="37"/>
      <c r="AF78" s="37" t="s">
        <v>389</v>
      </c>
      <c r="AG78" s="62" t="s">
        <v>622</v>
      </c>
      <c r="AH78" s="63" t="s">
        <v>461</v>
      </c>
      <c r="AI78" s="62" t="n">
        <v>0.22</v>
      </c>
      <c r="AJ78" s="37" t="s">
        <v>607</v>
      </c>
      <c r="AK78" s="37" t="n">
        <f aca="false">SUM(Table1[[#This Row],[reported_1302]:[reported_1286_iso]])</f>
        <v>100</v>
      </c>
      <c r="AL78" s="64" t="n">
        <v>59.34</v>
      </c>
      <c r="AM78" s="64" t="n">
        <v>4.04</v>
      </c>
      <c r="AN78" s="64" t="n">
        <v>2.09</v>
      </c>
      <c r="AO78" s="64" t="n">
        <v>1.71</v>
      </c>
      <c r="AP78" s="64" t="n">
        <v>32.51</v>
      </c>
      <c r="AQ78" s="64" t="n">
        <v>0.31</v>
      </c>
      <c r="AR78" s="64"/>
      <c r="AS78" s="64"/>
      <c r="AT78" s="64"/>
      <c r="AU78" s="64"/>
      <c r="AV78" s="64"/>
      <c r="AW78" s="64"/>
      <c r="AX78" s="64"/>
      <c r="AY78" s="64"/>
      <c r="AZ78" s="64"/>
      <c r="BA78" s="64" t="n">
        <f aca="false">AL78/SUM($AL78:$AQ78)</f>
        <v>0.5934</v>
      </c>
      <c r="BB78" s="64" t="n">
        <f aca="false">AM78/SUM($AL78:$AQ78)</f>
        <v>0.0404</v>
      </c>
      <c r="BC78" s="64" t="n">
        <f aca="false">AN78/SUM($AL78:$AQ78)</f>
        <v>0.0209</v>
      </c>
      <c r="BD78" s="64" t="n">
        <f aca="false">AO78/SUM($AL78:$AQ78)</f>
        <v>0.0171</v>
      </c>
      <c r="BE78" s="64" t="n">
        <f aca="false">AP78/SUM($AL78:$AQ78)</f>
        <v>0.3251</v>
      </c>
      <c r="BF78" s="64" t="n">
        <f aca="false">AQ78/SUM($AL78:$AQ78)</f>
        <v>0.0031</v>
      </c>
      <c r="BG78" s="65" t="e">
        <f aca="false">#N/A</f>
        <v>#N/A</v>
      </c>
      <c r="BH78" s="37" t="s">
        <v>393</v>
      </c>
      <c r="BI78" s="37" t="s">
        <v>463</v>
      </c>
      <c r="BJ78" s="37" t="s">
        <v>608</v>
      </c>
      <c r="BK78" s="40" t="s">
        <v>4</v>
      </c>
      <c r="BL78" s="37" t="s">
        <v>4</v>
      </c>
      <c r="BM78" s="37" t="s">
        <v>397</v>
      </c>
      <c r="BN78" s="37" t="s">
        <v>397</v>
      </c>
      <c r="BO78" s="37" t="s">
        <v>595</v>
      </c>
      <c r="BP78" s="37" t="s">
        <v>397</v>
      </c>
      <c r="BQ78" s="37" t="s">
        <v>397</v>
      </c>
      <c r="BR78" s="37" t="s">
        <v>405</v>
      </c>
      <c r="BS78" s="37" t="s">
        <v>405</v>
      </c>
      <c r="BT78" s="37" t="s">
        <v>67</v>
      </c>
      <c r="BU78" s="37" t="s">
        <v>609</v>
      </c>
      <c r="BV78" s="37" t="s">
        <v>68</v>
      </c>
      <c r="BW78" s="37" t="s">
        <v>402</v>
      </c>
    </row>
    <row r="79" customFormat="false" ht="14.9" hidden="false" customHeight="false" outlineLevel="0" collapsed="false">
      <c r="A79" s="37" t="s">
        <v>623</v>
      </c>
      <c r="B79" s="62" t="s">
        <v>73</v>
      </c>
      <c r="C79" s="37" t="s">
        <v>72</v>
      </c>
      <c r="D79" s="37" t="n">
        <f aca="false">INDEX(Strain_IDs!C:C,MATCH(Table1[[#This Row],[Strains]],Strain_IDs!D:D,0))</f>
        <v>2</v>
      </c>
      <c r="E79" s="37" t="s">
        <v>382</v>
      </c>
      <c r="F79" s="37" t="s">
        <v>20</v>
      </c>
      <c r="G79" s="37" t="s">
        <v>21</v>
      </c>
      <c r="H79" s="37" t="s">
        <v>27</v>
      </c>
      <c r="I79" s="37" t="s">
        <v>455</v>
      </c>
      <c r="J79" s="37"/>
      <c r="K79" s="37" t="s">
        <v>384</v>
      </c>
      <c r="L79" s="37" t="s">
        <v>20</v>
      </c>
      <c r="M79" s="37" t="s">
        <v>385</v>
      </c>
      <c r="N79" s="37" t="s">
        <v>27</v>
      </c>
      <c r="O79" s="40" t="s">
        <v>455</v>
      </c>
      <c r="P79" s="40"/>
      <c r="Q79" s="37" t="s">
        <v>456</v>
      </c>
      <c r="R79" s="37" t="s">
        <v>62</v>
      </c>
      <c r="S79" s="37" t="s">
        <v>63</v>
      </c>
      <c r="T79" s="37" t="s">
        <v>387</v>
      </c>
      <c r="U79" s="37"/>
      <c r="V79" s="37"/>
      <c r="W79" s="37" t="s">
        <v>624</v>
      </c>
      <c r="X79" s="37" t="n">
        <v>15</v>
      </c>
      <c r="Y79" s="37"/>
      <c r="Z79" s="37"/>
      <c r="AA79" s="37"/>
      <c r="AB79" s="37"/>
      <c r="AC79" s="37"/>
      <c r="AD79" s="37"/>
      <c r="AE79" s="37"/>
      <c r="AF79" s="37" t="s">
        <v>389</v>
      </c>
      <c r="AG79" s="62" t="s">
        <v>446</v>
      </c>
      <c r="AH79" s="63" t="s">
        <v>461</v>
      </c>
      <c r="AI79" s="62" t="n">
        <v>0.22</v>
      </c>
      <c r="AJ79" s="37" t="s">
        <v>607</v>
      </c>
      <c r="AK79" s="37" t="n">
        <f aca="false">SUM(Table1[[#This Row],[reported_1302]:[reported_1286_iso]])</f>
        <v>100</v>
      </c>
      <c r="AL79" s="64" t="n">
        <v>57.6</v>
      </c>
      <c r="AM79" s="64" t="n">
        <v>3.34</v>
      </c>
      <c r="AN79" s="64" t="n">
        <v>1.88</v>
      </c>
      <c r="AO79" s="64" t="n">
        <v>1.71</v>
      </c>
      <c r="AP79" s="64" t="n">
        <v>35.17</v>
      </c>
      <c r="AQ79" s="64" t="n">
        <v>0.3</v>
      </c>
      <c r="AR79" s="64"/>
      <c r="AS79" s="64"/>
      <c r="AT79" s="64"/>
      <c r="AU79" s="64"/>
      <c r="AV79" s="64"/>
      <c r="AW79" s="64"/>
      <c r="AX79" s="64"/>
      <c r="AY79" s="64"/>
      <c r="AZ79" s="64"/>
      <c r="BA79" s="64" t="n">
        <f aca="false">AL79/SUM($AL79:$AQ79)</f>
        <v>0.576</v>
      </c>
      <c r="BB79" s="64" t="n">
        <f aca="false">AM79/SUM($AL79:$AQ79)</f>
        <v>0.0334</v>
      </c>
      <c r="BC79" s="64" t="n">
        <f aca="false">AN79/SUM($AL79:$AQ79)</f>
        <v>0.0188</v>
      </c>
      <c r="BD79" s="64" t="n">
        <f aca="false">AO79/SUM($AL79:$AQ79)</f>
        <v>0.0171</v>
      </c>
      <c r="BE79" s="64" t="n">
        <f aca="false">AP79/SUM($AL79:$AQ79)</f>
        <v>0.3517</v>
      </c>
      <c r="BF79" s="64" t="n">
        <f aca="false">AQ79/SUM($AL79:$AQ79)</f>
        <v>0.003</v>
      </c>
      <c r="BG79" s="65" t="e">
        <f aca="false">#N/A</f>
        <v>#N/A</v>
      </c>
      <c r="BH79" s="37" t="s">
        <v>393</v>
      </c>
      <c r="BI79" s="37" t="s">
        <v>463</v>
      </c>
      <c r="BJ79" s="37" t="s">
        <v>608</v>
      </c>
      <c r="BK79" s="40" t="s">
        <v>4</v>
      </c>
      <c r="BL79" s="37" t="s">
        <v>4</v>
      </c>
      <c r="BM79" s="37" t="s">
        <v>397</v>
      </c>
      <c r="BN79" s="37" t="s">
        <v>397</v>
      </c>
      <c r="BO79" s="37" t="s">
        <v>595</v>
      </c>
      <c r="BP79" s="37" t="s">
        <v>397</v>
      </c>
      <c r="BQ79" s="37" t="s">
        <v>397</v>
      </c>
      <c r="BR79" s="37" t="s">
        <v>405</v>
      </c>
      <c r="BS79" s="37" t="s">
        <v>405</v>
      </c>
      <c r="BT79" s="37" t="s">
        <v>67</v>
      </c>
      <c r="BU79" s="37" t="s">
        <v>609</v>
      </c>
      <c r="BV79" s="37" t="s">
        <v>68</v>
      </c>
      <c r="BW79" s="37" t="s">
        <v>402</v>
      </c>
    </row>
    <row r="80" customFormat="false" ht="14.9" hidden="false" customHeight="false" outlineLevel="0" collapsed="false">
      <c r="A80" s="37" t="s">
        <v>625</v>
      </c>
      <c r="B80" s="62" t="s">
        <v>73</v>
      </c>
      <c r="C80" s="37" t="s">
        <v>72</v>
      </c>
      <c r="D80" s="37" t="n">
        <f aca="false">INDEX(Strain_IDs!C:C,MATCH(Table1[[#This Row],[Strains]],Strain_IDs!D:D,0))</f>
        <v>2</v>
      </c>
      <c r="E80" s="37" t="s">
        <v>382</v>
      </c>
      <c r="F80" s="37" t="s">
        <v>20</v>
      </c>
      <c r="G80" s="37" t="s">
        <v>21</v>
      </c>
      <c r="H80" s="37" t="s">
        <v>27</v>
      </c>
      <c r="I80" s="37" t="s">
        <v>455</v>
      </c>
      <c r="J80" s="37"/>
      <c r="K80" s="37" t="s">
        <v>384</v>
      </c>
      <c r="L80" s="37" t="s">
        <v>20</v>
      </c>
      <c r="M80" s="37" t="s">
        <v>385</v>
      </c>
      <c r="N80" s="37" t="s">
        <v>27</v>
      </c>
      <c r="O80" s="40" t="s">
        <v>455</v>
      </c>
      <c r="P80" s="40"/>
      <c r="Q80" s="37" t="s">
        <v>456</v>
      </c>
      <c r="R80" s="37" t="s">
        <v>62</v>
      </c>
      <c r="S80" s="37" t="s">
        <v>63</v>
      </c>
      <c r="T80" s="37" t="s">
        <v>387</v>
      </c>
      <c r="U80" s="37"/>
      <c r="V80" s="37"/>
      <c r="W80" s="37" t="s">
        <v>626</v>
      </c>
      <c r="X80" s="37" t="n">
        <v>20</v>
      </c>
      <c r="Y80" s="37"/>
      <c r="Z80" s="37"/>
      <c r="AA80" s="37"/>
      <c r="AB80" s="37"/>
      <c r="AC80" s="37"/>
      <c r="AD80" s="37"/>
      <c r="AE80" s="37"/>
      <c r="AF80" s="37" t="s">
        <v>389</v>
      </c>
      <c r="AG80" s="62" t="s">
        <v>446</v>
      </c>
      <c r="AH80" s="63" t="s">
        <v>461</v>
      </c>
      <c r="AI80" s="62" t="n">
        <v>0.22</v>
      </c>
      <c r="AJ80" s="37" t="s">
        <v>607</v>
      </c>
      <c r="AK80" s="37" t="n">
        <f aca="false">SUM(Table1[[#This Row],[reported_1302]:[reported_1286_iso]])</f>
        <v>100</v>
      </c>
      <c r="AL80" s="64" t="n">
        <v>50.22</v>
      </c>
      <c r="AM80" s="64" t="n">
        <v>3.73</v>
      </c>
      <c r="AN80" s="64" t="n">
        <v>2.37</v>
      </c>
      <c r="AO80" s="64" t="n">
        <v>2.15</v>
      </c>
      <c r="AP80" s="64" t="n">
        <v>41.27</v>
      </c>
      <c r="AQ80" s="64" t="n">
        <v>0.26</v>
      </c>
      <c r="AR80" s="64"/>
      <c r="AS80" s="64"/>
      <c r="AT80" s="64"/>
      <c r="AU80" s="64"/>
      <c r="AV80" s="64"/>
      <c r="AW80" s="64"/>
      <c r="AX80" s="64"/>
      <c r="AY80" s="64"/>
      <c r="AZ80" s="64"/>
      <c r="BA80" s="64" t="n">
        <f aca="false">AL80/SUM($AL80:$AQ80)</f>
        <v>0.5022</v>
      </c>
      <c r="BB80" s="64" t="n">
        <f aca="false">AM80/SUM($AL80:$AQ80)</f>
        <v>0.0373</v>
      </c>
      <c r="BC80" s="64" t="n">
        <f aca="false">AN80/SUM($AL80:$AQ80)</f>
        <v>0.0237</v>
      </c>
      <c r="BD80" s="64" t="n">
        <f aca="false">AO80/SUM($AL80:$AQ80)</f>
        <v>0.0215</v>
      </c>
      <c r="BE80" s="64" t="n">
        <f aca="false">AP80/SUM($AL80:$AQ80)</f>
        <v>0.4127</v>
      </c>
      <c r="BF80" s="64" t="n">
        <f aca="false">AQ80/SUM($AL80:$AQ80)</f>
        <v>0.0026</v>
      </c>
      <c r="BG80" s="65" t="e">
        <f aca="false">#N/A</f>
        <v>#N/A</v>
      </c>
      <c r="BH80" s="37" t="s">
        <v>393</v>
      </c>
      <c r="BI80" s="37" t="s">
        <v>463</v>
      </c>
      <c r="BJ80" s="37" t="s">
        <v>608</v>
      </c>
      <c r="BK80" s="40" t="s">
        <v>4</v>
      </c>
      <c r="BL80" s="37" t="s">
        <v>4</v>
      </c>
      <c r="BM80" s="37" t="s">
        <v>397</v>
      </c>
      <c r="BN80" s="37" t="s">
        <v>397</v>
      </c>
      <c r="BO80" s="37" t="s">
        <v>595</v>
      </c>
      <c r="BP80" s="37" t="s">
        <v>397</v>
      </c>
      <c r="BQ80" s="37" t="s">
        <v>397</v>
      </c>
      <c r="BR80" s="37" t="s">
        <v>405</v>
      </c>
      <c r="BS80" s="37" t="s">
        <v>405</v>
      </c>
      <c r="BT80" s="37" t="s">
        <v>67</v>
      </c>
      <c r="BU80" s="37" t="s">
        <v>609</v>
      </c>
      <c r="BV80" s="37" t="s">
        <v>68</v>
      </c>
      <c r="BW80" s="37" t="s">
        <v>402</v>
      </c>
    </row>
    <row r="81" customFormat="false" ht="14.9" hidden="false" customHeight="false" outlineLevel="0" collapsed="false">
      <c r="A81" s="37" t="s">
        <v>627</v>
      </c>
      <c r="B81" s="62" t="s">
        <v>73</v>
      </c>
      <c r="C81" s="37" t="s">
        <v>72</v>
      </c>
      <c r="D81" s="37" t="n">
        <f aca="false">INDEX(Strain_IDs!C:C,MATCH(Table1[[#This Row],[Strains]],Strain_IDs!D:D,0))</f>
        <v>2</v>
      </c>
      <c r="E81" s="37" t="s">
        <v>382</v>
      </c>
      <c r="F81" s="37" t="s">
        <v>20</v>
      </c>
      <c r="G81" s="37" t="s">
        <v>21</v>
      </c>
      <c r="H81" s="37" t="s">
        <v>27</v>
      </c>
      <c r="I81" s="37" t="s">
        <v>455</v>
      </c>
      <c r="J81" s="37"/>
      <c r="K81" s="37" t="s">
        <v>384</v>
      </c>
      <c r="L81" s="37" t="s">
        <v>20</v>
      </c>
      <c r="M81" s="37" t="s">
        <v>385</v>
      </c>
      <c r="N81" s="37" t="s">
        <v>27</v>
      </c>
      <c r="O81" s="40" t="s">
        <v>455</v>
      </c>
      <c r="P81" s="40"/>
      <c r="Q81" s="37" t="s">
        <v>456</v>
      </c>
      <c r="R81" s="37" t="s">
        <v>62</v>
      </c>
      <c r="S81" s="37" t="s">
        <v>63</v>
      </c>
      <c r="T81" s="37" t="s">
        <v>387</v>
      </c>
      <c r="U81" s="37"/>
      <c r="V81" s="37"/>
      <c r="W81" s="37" t="s">
        <v>628</v>
      </c>
      <c r="X81" s="37" t="n">
        <v>25</v>
      </c>
      <c r="Y81" s="37"/>
      <c r="Z81" s="37"/>
      <c r="AA81" s="37"/>
      <c r="AB81" s="37"/>
      <c r="AC81" s="37"/>
      <c r="AD81" s="37"/>
      <c r="AE81" s="37"/>
      <c r="AF81" s="37" t="s">
        <v>389</v>
      </c>
      <c r="AG81" s="62" t="s">
        <v>446</v>
      </c>
      <c r="AH81" s="63" t="s">
        <v>461</v>
      </c>
      <c r="AI81" s="62" t="n">
        <v>0.22</v>
      </c>
      <c r="AJ81" s="37" t="s">
        <v>607</v>
      </c>
      <c r="AK81" s="37" t="n">
        <f aca="false">SUM(Table1[[#This Row],[reported_1302]:[reported_1286_iso]])</f>
        <v>100</v>
      </c>
      <c r="AL81" s="64" t="n">
        <v>38.09</v>
      </c>
      <c r="AM81" s="64" t="n">
        <v>4.52</v>
      </c>
      <c r="AN81" s="64" t="n">
        <v>2.71</v>
      </c>
      <c r="AO81" s="64" t="n">
        <v>2.54</v>
      </c>
      <c r="AP81" s="64" t="n">
        <v>51.78</v>
      </c>
      <c r="AQ81" s="64" t="n">
        <v>0.36</v>
      </c>
      <c r="AR81" s="64"/>
      <c r="AS81" s="64"/>
      <c r="AT81" s="64"/>
      <c r="AU81" s="64"/>
      <c r="AV81" s="64"/>
      <c r="AW81" s="64"/>
      <c r="AX81" s="64"/>
      <c r="AY81" s="64"/>
      <c r="AZ81" s="64"/>
      <c r="BA81" s="64" t="n">
        <f aca="false">AL81/SUM($AL81:$AQ81)</f>
        <v>0.3809</v>
      </c>
      <c r="BB81" s="64" t="n">
        <f aca="false">AM81/SUM($AL81:$AQ81)</f>
        <v>0.0452</v>
      </c>
      <c r="BC81" s="64" t="n">
        <f aca="false">AN81/SUM($AL81:$AQ81)</f>
        <v>0.0271</v>
      </c>
      <c r="BD81" s="64" t="n">
        <f aca="false">AO81/SUM($AL81:$AQ81)</f>
        <v>0.0254</v>
      </c>
      <c r="BE81" s="64" t="n">
        <f aca="false">AP81/SUM($AL81:$AQ81)</f>
        <v>0.5178</v>
      </c>
      <c r="BF81" s="64" t="n">
        <f aca="false">AQ81/SUM($AL81:$AQ81)</f>
        <v>0.0036</v>
      </c>
      <c r="BG81" s="65" t="e">
        <f aca="false">#N/A</f>
        <v>#N/A</v>
      </c>
      <c r="BH81" s="37" t="s">
        <v>393</v>
      </c>
      <c r="BI81" s="37" t="s">
        <v>463</v>
      </c>
      <c r="BJ81" s="37" t="s">
        <v>608</v>
      </c>
      <c r="BK81" s="40" t="s">
        <v>4</v>
      </c>
      <c r="BL81" s="37" t="s">
        <v>4</v>
      </c>
      <c r="BM81" s="37" t="s">
        <v>397</v>
      </c>
      <c r="BN81" s="37" t="s">
        <v>397</v>
      </c>
      <c r="BO81" s="37" t="s">
        <v>595</v>
      </c>
      <c r="BP81" s="37" t="s">
        <v>397</v>
      </c>
      <c r="BQ81" s="37" t="s">
        <v>397</v>
      </c>
      <c r="BR81" s="37" t="s">
        <v>405</v>
      </c>
      <c r="BS81" s="37" t="s">
        <v>405</v>
      </c>
      <c r="BT81" s="37" t="s">
        <v>67</v>
      </c>
      <c r="BU81" s="37" t="s">
        <v>609</v>
      </c>
      <c r="BV81" s="37" t="s">
        <v>68</v>
      </c>
      <c r="BW81" s="37" t="s">
        <v>402</v>
      </c>
    </row>
    <row r="82" customFormat="false" ht="14.9" hidden="false" customHeight="false" outlineLevel="0" collapsed="false">
      <c r="A82" s="37" t="s">
        <v>629</v>
      </c>
      <c r="B82" s="62" t="s">
        <v>73</v>
      </c>
      <c r="C82" s="37" t="s">
        <v>72</v>
      </c>
      <c r="D82" s="37" t="n">
        <f aca="false">INDEX(Strain_IDs!C:C,MATCH(Table1[[#This Row],[Strains]],Strain_IDs!D:D,0))</f>
        <v>2</v>
      </c>
      <c r="E82" s="37" t="s">
        <v>382</v>
      </c>
      <c r="F82" s="37" t="s">
        <v>20</v>
      </c>
      <c r="G82" s="37" t="s">
        <v>21</v>
      </c>
      <c r="H82" s="37" t="s">
        <v>27</v>
      </c>
      <c r="I82" s="37" t="s">
        <v>455</v>
      </c>
      <c r="J82" s="37"/>
      <c r="K82" s="37" t="s">
        <v>384</v>
      </c>
      <c r="L82" s="37" t="s">
        <v>20</v>
      </c>
      <c r="M82" s="37" t="s">
        <v>385</v>
      </c>
      <c r="N82" s="37" t="s">
        <v>27</v>
      </c>
      <c r="O82" s="40" t="s">
        <v>455</v>
      </c>
      <c r="P82" s="40"/>
      <c r="Q82" s="37" t="s">
        <v>456</v>
      </c>
      <c r="R82" s="37" t="s">
        <v>62</v>
      </c>
      <c r="S82" s="37" t="s">
        <v>63</v>
      </c>
      <c r="T82" s="37" t="s">
        <v>387</v>
      </c>
      <c r="U82" s="37"/>
      <c r="V82" s="37"/>
      <c r="W82" s="37" t="s">
        <v>630</v>
      </c>
      <c r="X82" s="37" t="n">
        <v>30</v>
      </c>
      <c r="Y82" s="37"/>
      <c r="Z82" s="37"/>
      <c r="AA82" s="37"/>
      <c r="AB82" s="37"/>
      <c r="AC82" s="37"/>
      <c r="AD82" s="37"/>
      <c r="AE82" s="37"/>
      <c r="AF82" s="37" t="s">
        <v>389</v>
      </c>
      <c r="AG82" s="62" t="s">
        <v>446</v>
      </c>
      <c r="AH82" s="63" t="s">
        <v>461</v>
      </c>
      <c r="AI82" s="62" t="n">
        <v>0.22</v>
      </c>
      <c r="AJ82" s="37" t="s">
        <v>607</v>
      </c>
      <c r="AK82" s="37" t="n">
        <f aca="false">SUM(Table1[[#This Row],[reported_1302]:[reported_1286_iso]])</f>
        <v>100</v>
      </c>
      <c r="AL82" s="64" t="n">
        <v>27.23</v>
      </c>
      <c r="AM82" s="64" t="n">
        <v>3.95</v>
      </c>
      <c r="AN82" s="64" t="n">
        <v>1.97</v>
      </c>
      <c r="AO82" s="64" t="n">
        <v>1.45</v>
      </c>
      <c r="AP82" s="64" t="n">
        <v>64.9</v>
      </c>
      <c r="AQ82" s="64" t="n">
        <v>0.5</v>
      </c>
      <c r="AR82" s="64"/>
      <c r="AS82" s="64"/>
      <c r="AT82" s="64"/>
      <c r="AU82" s="64"/>
      <c r="AV82" s="64"/>
      <c r="AW82" s="64"/>
      <c r="AX82" s="64"/>
      <c r="AY82" s="64"/>
      <c r="AZ82" s="64"/>
      <c r="BA82" s="64" t="n">
        <f aca="false">AL82/SUM($AL82:$AQ82)</f>
        <v>0.2723</v>
      </c>
      <c r="BB82" s="64" t="n">
        <f aca="false">AM82/SUM($AL82:$AQ82)</f>
        <v>0.0395</v>
      </c>
      <c r="BC82" s="64" t="n">
        <f aca="false">AN82/SUM($AL82:$AQ82)</f>
        <v>0.0197</v>
      </c>
      <c r="BD82" s="64" t="n">
        <f aca="false">AO82/SUM($AL82:$AQ82)</f>
        <v>0.0145</v>
      </c>
      <c r="BE82" s="64" t="n">
        <f aca="false">AP82/SUM($AL82:$AQ82)</f>
        <v>0.649</v>
      </c>
      <c r="BF82" s="64" t="n">
        <f aca="false">AQ82/SUM($AL82:$AQ82)</f>
        <v>0.005</v>
      </c>
      <c r="BG82" s="65" t="e">
        <f aca="false">#N/A</f>
        <v>#N/A</v>
      </c>
      <c r="BH82" s="37" t="s">
        <v>393</v>
      </c>
      <c r="BI82" s="37" t="s">
        <v>463</v>
      </c>
      <c r="BJ82" s="37" t="s">
        <v>608</v>
      </c>
      <c r="BK82" s="40" t="s">
        <v>4</v>
      </c>
      <c r="BL82" s="37" t="s">
        <v>4</v>
      </c>
      <c r="BM82" s="37" t="s">
        <v>397</v>
      </c>
      <c r="BN82" s="37" t="s">
        <v>397</v>
      </c>
      <c r="BO82" s="37" t="s">
        <v>595</v>
      </c>
      <c r="BP82" s="37" t="s">
        <v>397</v>
      </c>
      <c r="BQ82" s="37" t="s">
        <v>397</v>
      </c>
      <c r="BR82" s="37" t="s">
        <v>405</v>
      </c>
      <c r="BS82" s="37" t="s">
        <v>405</v>
      </c>
      <c r="BT82" s="37" t="s">
        <v>67</v>
      </c>
      <c r="BU82" s="37" t="s">
        <v>609</v>
      </c>
      <c r="BV82" s="37" t="s">
        <v>68</v>
      </c>
      <c r="BW82" s="37" t="s">
        <v>402</v>
      </c>
    </row>
    <row r="83" customFormat="false" ht="14.9" hidden="false" customHeight="false" outlineLevel="0" collapsed="false">
      <c r="A83" s="37" t="s">
        <v>631</v>
      </c>
      <c r="B83" s="62" t="s">
        <v>59</v>
      </c>
      <c r="C83" s="37" t="s">
        <v>58</v>
      </c>
      <c r="D83" s="37" t="n">
        <f aca="false">INDEX(Strain_IDs!C:C,MATCH(Table1[[#This Row],[Strains]],Strain_IDs!D:D,0))</f>
        <v>1</v>
      </c>
      <c r="E83" s="37" t="s">
        <v>382</v>
      </c>
      <c r="F83" s="37" t="s">
        <v>20</v>
      </c>
      <c r="G83" s="37" t="s">
        <v>21</v>
      </c>
      <c r="H83" s="37" t="s">
        <v>27</v>
      </c>
      <c r="I83" s="37" t="s">
        <v>455</v>
      </c>
      <c r="J83" s="37"/>
      <c r="K83" s="37" t="s">
        <v>384</v>
      </c>
      <c r="L83" s="37" t="s">
        <v>20</v>
      </c>
      <c r="M83" s="37" t="s">
        <v>385</v>
      </c>
      <c r="N83" s="37" t="s">
        <v>27</v>
      </c>
      <c r="O83" s="40" t="s">
        <v>455</v>
      </c>
      <c r="P83" s="40"/>
      <c r="Q83" s="37" t="s">
        <v>456</v>
      </c>
      <c r="R83" s="37" t="s">
        <v>62</v>
      </c>
      <c r="S83" s="37" t="s">
        <v>63</v>
      </c>
      <c r="T83" s="37" t="s">
        <v>387</v>
      </c>
      <c r="U83" s="37"/>
      <c r="V83" s="37"/>
      <c r="W83" s="37" t="s">
        <v>632</v>
      </c>
      <c r="X83" s="37" t="n">
        <v>10</v>
      </c>
      <c r="Y83" s="37"/>
      <c r="Z83" s="37"/>
      <c r="AA83" s="37"/>
      <c r="AB83" s="37"/>
      <c r="AC83" s="37"/>
      <c r="AD83" s="37"/>
      <c r="AE83" s="37"/>
      <c r="AF83" s="37" t="s">
        <v>389</v>
      </c>
      <c r="AG83" s="62" t="s">
        <v>446</v>
      </c>
      <c r="AH83" s="63" t="s">
        <v>461</v>
      </c>
      <c r="AI83" s="62" t="n">
        <v>0.22</v>
      </c>
      <c r="AJ83" s="37" t="s">
        <v>607</v>
      </c>
      <c r="AK83" s="37" t="n">
        <f aca="false">SUM(Table1[[#This Row],[reported_1302]:[reported_1286_iso]])</f>
        <v>100</v>
      </c>
      <c r="AL83" s="64" t="n">
        <v>56.92</v>
      </c>
      <c r="AM83" s="64" t="n">
        <v>2.98</v>
      </c>
      <c r="AN83" s="64" t="n">
        <v>1.34</v>
      </c>
      <c r="AO83" s="64" t="n">
        <v>1.25</v>
      </c>
      <c r="AP83" s="64" t="n">
        <v>37.39</v>
      </c>
      <c r="AQ83" s="64" t="n">
        <v>0.12</v>
      </c>
      <c r="AR83" s="64"/>
      <c r="AS83" s="64"/>
      <c r="AT83" s="64"/>
      <c r="AU83" s="64"/>
      <c r="AV83" s="64"/>
      <c r="AW83" s="64"/>
      <c r="AX83" s="64"/>
      <c r="AY83" s="64"/>
      <c r="AZ83" s="64"/>
      <c r="BA83" s="64" t="n">
        <f aca="false">AL83/SUM($AL83:$AQ83)</f>
        <v>0.5692</v>
      </c>
      <c r="BB83" s="64" t="n">
        <f aca="false">AM83/SUM($AL83:$AQ83)</f>
        <v>0.0298</v>
      </c>
      <c r="BC83" s="64" t="n">
        <f aca="false">AN83/SUM($AL83:$AQ83)</f>
        <v>0.0134</v>
      </c>
      <c r="BD83" s="64" t="n">
        <f aca="false">AO83/SUM($AL83:$AQ83)</f>
        <v>0.0125</v>
      </c>
      <c r="BE83" s="64" t="n">
        <f aca="false">AP83/SUM($AL83:$AQ83)</f>
        <v>0.3739</v>
      </c>
      <c r="BF83" s="64" t="n">
        <f aca="false">AQ83/SUM($AL83:$AQ83)</f>
        <v>0.0012</v>
      </c>
      <c r="BG83" s="65" t="e">
        <f aca="false">#N/A</f>
        <v>#N/A</v>
      </c>
      <c r="BH83" s="37" t="s">
        <v>393</v>
      </c>
      <c r="BI83" s="37" t="s">
        <v>463</v>
      </c>
      <c r="BJ83" s="37" t="s">
        <v>608</v>
      </c>
      <c r="BK83" s="40" t="s">
        <v>4</v>
      </c>
      <c r="BL83" s="37" t="s">
        <v>4</v>
      </c>
      <c r="BM83" s="37" t="s">
        <v>397</v>
      </c>
      <c r="BN83" s="37" t="s">
        <v>397</v>
      </c>
      <c r="BO83" s="37" t="s">
        <v>595</v>
      </c>
      <c r="BP83" s="37" t="s">
        <v>397</v>
      </c>
      <c r="BQ83" s="37" t="s">
        <v>397</v>
      </c>
      <c r="BR83" s="37" t="s">
        <v>405</v>
      </c>
      <c r="BS83" s="37" t="s">
        <v>405</v>
      </c>
      <c r="BT83" s="37" t="s">
        <v>67</v>
      </c>
      <c r="BU83" s="37" t="s">
        <v>609</v>
      </c>
      <c r="BV83" s="37" t="s">
        <v>68</v>
      </c>
      <c r="BW83" s="37" t="s">
        <v>402</v>
      </c>
    </row>
    <row r="84" customFormat="false" ht="14.9" hidden="false" customHeight="false" outlineLevel="0" collapsed="false">
      <c r="A84" s="37" t="s">
        <v>633</v>
      </c>
      <c r="B84" s="62" t="s">
        <v>59</v>
      </c>
      <c r="C84" s="37" t="s">
        <v>58</v>
      </c>
      <c r="D84" s="37" t="n">
        <f aca="false">INDEX(Strain_IDs!C:C,MATCH(Table1[[#This Row],[Strains]],Strain_IDs!D:D,0))</f>
        <v>1</v>
      </c>
      <c r="E84" s="37" t="s">
        <v>382</v>
      </c>
      <c r="F84" s="37" t="s">
        <v>20</v>
      </c>
      <c r="G84" s="37" t="s">
        <v>21</v>
      </c>
      <c r="H84" s="37" t="s">
        <v>27</v>
      </c>
      <c r="I84" s="37" t="s">
        <v>455</v>
      </c>
      <c r="J84" s="37"/>
      <c r="K84" s="37" t="s">
        <v>384</v>
      </c>
      <c r="L84" s="37" t="s">
        <v>20</v>
      </c>
      <c r="M84" s="37" t="s">
        <v>385</v>
      </c>
      <c r="N84" s="37" t="s">
        <v>27</v>
      </c>
      <c r="O84" s="40" t="s">
        <v>455</v>
      </c>
      <c r="P84" s="40"/>
      <c r="Q84" s="37" t="s">
        <v>456</v>
      </c>
      <c r="R84" s="37" t="s">
        <v>62</v>
      </c>
      <c r="S84" s="37" t="s">
        <v>63</v>
      </c>
      <c r="T84" s="37" t="s">
        <v>387</v>
      </c>
      <c r="U84" s="37"/>
      <c r="V84" s="37"/>
      <c r="W84" s="37" t="s">
        <v>634</v>
      </c>
      <c r="X84" s="37" t="n">
        <v>15</v>
      </c>
      <c r="Y84" s="37"/>
      <c r="Z84" s="37"/>
      <c r="AA84" s="37"/>
      <c r="AB84" s="37"/>
      <c r="AC84" s="37"/>
      <c r="AD84" s="37"/>
      <c r="AE84" s="37"/>
      <c r="AF84" s="37" t="s">
        <v>389</v>
      </c>
      <c r="AG84" s="62" t="s">
        <v>446</v>
      </c>
      <c r="AH84" s="63" t="s">
        <v>461</v>
      </c>
      <c r="AI84" s="62" t="n">
        <v>0.22</v>
      </c>
      <c r="AJ84" s="37" t="s">
        <v>607</v>
      </c>
      <c r="AK84" s="37" t="n">
        <f aca="false">SUM(Table1[[#This Row],[reported_1302]:[reported_1286_iso]])</f>
        <v>100</v>
      </c>
      <c r="AL84" s="64" t="n">
        <v>53.99</v>
      </c>
      <c r="AM84" s="64" t="n">
        <v>2.71</v>
      </c>
      <c r="AN84" s="64" t="n">
        <v>1.46</v>
      </c>
      <c r="AO84" s="64" t="n">
        <v>1.5</v>
      </c>
      <c r="AP84" s="64" t="n">
        <v>40.14</v>
      </c>
      <c r="AQ84" s="64" t="n">
        <v>0.2</v>
      </c>
      <c r="AR84" s="64"/>
      <c r="AS84" s="64"/>
      <c r="AT84" s="64"/>
      <c r="AU84" s="64"/>
      <c r="AV84" s="64"/>
      <c r="AW84" s="64"/>
      <c r="AX84" s="64"/>
      <c r="AY84" s="64"/>
      <c r="AZ84" s="64"/>
      <c r="BA84" s="64" t="n">
        <f aca="false">AL84/SUM($AL84:$AQ84)</f>
        <v>0.5399</v>
      </c>
      <c r="BB84" s="64" t="n">
        <f aca="false">AM84/SUM($AL84:$AQ84)</f>
        <v>0.0271</v>
      </c>
      <c r="BC84" s="64" t="n">
        <f aca="false">AN84/SUM($AL84:$AQ84)</f>
        <v>0.0146</v>
      </c>
      <c r="BD84" s="64" t="n">
        <f aca="false">AO84/SUM($AL84:$AQ84)</f>
        <v>0.015</v>
      </c>
      <c r="BE84" s="64" t="n">
        <f aca="false">AP84/SUM($AL84:$AQ84)</f>
        <v>0.4014</v>
      </c>
      <c r="BF84" s="64" t="n">
        <f aca="false">AQ84/SUM($AL84:$AQ84)</f>
        <v>0.002</v>
      </c>
      <c r="BG84" s="65" t="e">
        <f aca="false">#N/A</f>
        <v>#N/A</v>
      </c>
      <c r="BH84" s="37" t="s">
        <v>393</v>
      </c>
      <c r="BI84" s="37" t="s">
        <v>463</v>
      </c>
      <c r="BJ84" s="37" t="s">
        <v>608</v>
      </c>
      <c r="BK84" s="40" t="s">
        <v>4</v>
      </c>
      <c r="BL84" s="37" t="s">
        <v>4</v>
      </c>
      <c r="BM84" s="37" t="s">
        <v>397</v>
      </c>
      <c r="BN84" s="37" t="s">
        <v>397</v>
      </c>
      <c r="BO84" s="37" t="s">
        <v>595</v>
      </c>
      <c r="BP84" s="37" t="s">
        <v>397</v>
      </c>
      <c r="BQ84" s="37" t="s">
        <v>397</v>
      </c>
      <c r="BR84" s="37" t="s">
        <v>405</v>
      </c>
      <c r="BS84" s="37" t="s">
        <v>405</v>
      </c>
      <c r="BT84" s="37" t="s">
        <v>67</v>
      </c>
      <c r="BU84" s="37" t="s">
        <v>609</v>
      </c>
      <c r="BV84" s="37" t="s">
        <v>68</v>
      </c>
      <c r="BW84" s="37" t="s">
        <v>402</v>
      </c>
    </row>
    <row r="85" customFormat="false" ht="14.9" hidden="false" customHeight="false" outlineLevel="0" collapsed="false">
      <c r="A85" s="37" t="s">
        <v>635</v>
      </c>
      <c r="B85" s="62" t="s">
        <v>59</v>
      </c>
      <c r="C85" s="37" t="s">
        <v>58</v>
      </c>
      <c r="D85" s="37" t="n">
        <f aca="false">INDEX(Strain_IDs!C:C,MATCH(Table1[[#This Row],[Strains]],Strain_IDs!D:D,0))</f>
        <v>1</v>
      </c>
      <c r="E85" s="37" t="s">
        <v>382</v>
      </c>
      <c r="F85" s="37" t="s">
        <v>20</v>
      </c>
      <c r="G85" s="37" t="s">
        <v>21</v>
      </c>
      <c r="H85" s="37" t="s">
        <v>27</v>
      </c>
      <c r="I85" s="37" t="s">
        <v>455</v>
      </c>
      <c r="J85" s="37"/>
      <c r="K85" s="37" t="s">
        <v>384</v>
      </c>
      <c r="L85" s="37" t="s">
        <v>20</v>
      </c>
      <c r="M85" s="37" t="s">
        <v>385</v>
      </c>
      <c r="N85" s="37" t="s">
        <v>27</v>
      </c>
      <c r="O85" s="40" t="s">
        <v>455</v>
      </c>
      <c r="P85" s="40"/>
      <c r="Q85" s="37" t="s">
        <v>456</v>
      </c>
      <c r="R85" s="37" t="s">
        <v>62</v>
      </c>
      <c r="S85" s="37" t="s">
        <v>63</v>
      </c>
      <c r="T85" s="37" t="s">
        <v>387</v>
      </c>
      <c r="U85" s="37"/>
      <c r="V85" s="37"/>
      <c r="W85" s="37" t="s">
        <v>636</v>
      </c>
      <c r="X85" s="37" t="n">
        <v>20</v>
      </c>
      <c r="Y85" s="37"/>
      <c r="Z85" s="37"/>
      <c r="AA85" s="37"/>
      <c r="AB85" s="37"/>
      <c r="AC85" s="37"/>
      <c r="AD85" s="37"/>
      <c r="AE85" s="37"/>
      <c r="AF85" s="37" t="s">
        <v>389</v>
      </c>
      <c r="AG85" s="62" t="s">
        <v>446</v>
      </c>
      <c r="AH85" s="63" t="s">
        <v>461</v>
      </c>
      <c r="AI85" s="62" t="n">
        <v>0.22</v>
      </c>
      <c r="AJ85" s="37" t="s">
        <v>607</v>
      </c>
      <c r="AK85" s="37" t="n">
        <f aca="false">SUM(Table1[[#This Row],[reported_1302]:[reported_1286_iso]])</f>
        <v>99.99</v>
      </c>
      <c r="AL85" s="64" t="n">
        <v>48.33</v>
      </c>
      <c r="AM85" s="64" t="n">
        <v>2.9</v>
      </c>
      <c r="AN85" s="64" t="n">
        <v>1.53</v>
      </c>
      <c r="AO85" s="64" t="n">
        <v>1.58</v>
      </c>
      <c r="AP85" s="64" t="n">
        <v>45.42</v>
      </c>
      <c r="AQ85" s="64" t="n">
        <v>0.23</v>
      </c>
      <c r="AR85" s="64"/>
      <c r="AS85" s="64"/>
      <c r="AT85" s="64"/>
      <c r="AU85" s="64"/>
      <c r="AV85" s="64"/>
      <c r="AW85" s="64"/>
      <c r="AX85" s="64"/>
      <c r="AY85" s="64"/>
      <c r="AZ85" s="64"/>
      <c r="BA85" s="64" t="n">
        <f aca="false">AL85/SUM($AL85:$AQ85)</f>
        <v>0.483348334833483</v>
      </c>
      <c r="BB85" s="64" t="n">
        <f aca="false">AM85/SUM($AL85:$AQ85)</f>
        <v>0.029002900290029</v>
      </c>
      <c r="BC85" s="64" t="n">
        <f aca="false">AN85/SUM($AL85:$AQ85)</f>
        <v>0.0153015301530153</v>
      </c>
      <c r="BD85" s="64" t="n">
        <f aca="false">AO85/SUM($AL85:$AQ85)</f>
        <v>0.0158015801580158</v>
      </c>
      <c r="BE85" s="64" t="n">
        <f aca="false">AP85/SUM($AL85:$AQ85)</f>
        <v>0.454245424542454</v>
      </c>
      <c r="BF85" s="64" t="n">
        <f aca="false">AQ85/SUM($AL85:$AQ85)</f>
        <v>0.0023002300230023</v>
      </c>
      <c r="BG85" s="65" t="e">
        <f aca="false">#N/A</f>
        <v>#N/A</v>
      </c>
      <c r="BH85" s="37" t="s">
        <v>393</v>
      </c>
      <c r="BI85" s="37" t="s">
        <v>463</v>
      </c>
      <c r="BJ85" s="37" t="s">
        <v>608</v>
      </c>
      <c r="BK85" s="40" t="s">
        <v>4</v>
      </c>
      <c r="BL85" s="37" t="s">
        <v>4</v>
      </c>
      <c r="BM85" s="37" t="s">
        <v>397</v>
      </c>
      <c r="BN85" s="37" t="s">
        <v>397</v>
      </c>
      <c r="BO85" s="37" t="s">
        <v>595</v>
      </c>
      <c r="BP85" s="37" t="s">
        <v>397</v>
      </c>
      <c r="BQ85" s="37" t="s">
        <v>397</v>
      </c>
      <c r="BR85" s="37" t="s">
        <v>405</v>
      </c>
      <c r="BS85" s="37" t="s">
        <v>405</v>
      </c>
      <c r="BT85" s="37" t="s">
        <v>67</v>
      </c>
      <c r="BU85" s="37" t="s">
        <v>609</v>
      </c>
      <c r="BV85" s="37" t="s">
        <v>68</v>
      </c>
      <c r="BW85" s="37" t="s">
        <v>402</v>
      </c>
    </row>
    <row r="86" customFormat="false" ht="14.9" hidden="false" customHeight="false" outlineLevel="0" collapsed="false">
      <c r="A86" s="37" t="s">
        <v>637</v>
      </c>
      <c r="B86" s="62" t="s">
        <v>59</v>
      </c>
      <c r="C86" s="37" t="s">
        <v>58</v>
      </c>
      <c r="D86" s="37" t="n">
        <f aca="false">INDEX(Strain_IDs!C:C,MATCH(Table1[[#This Row],[Strains]],Strain_IDs!D:D,0))</f>
        <v>1</v>
      </c>
      <c r="E86" s="37" t="s">
        <v>382</v>
      </c>
      <c r="F86" s="37" t="s">
        <v>20</v>
      </c>
      <c r="G86" s="37" t="s">
        <v>21</v>
      </c>
      <c r="H86" s="37" t="s">
        <v>27</v>
      </c>
      <c r="I86" s="37" t="s">
        <v>455</v>
      </c>
      <c r="J86" s="37"/>
      <c r="K86" s="37" t="s">
        <v>384</v>
      </c>
      <c r="L86" s="37" t="s">
        <v>20</v>
      </c>
      <c r="M86" s="37" t="s">
        <v>385</v>
      </c>
      <c r="N86" s="37" t="s">
        <v>27</v>
      </c>
      <c r="O86" s="40" t="s">
        <v>455</v>
      </c>
      <c r="P86" s="40"/>
      <c r="Q86" s="37" t="s">
        <v>456</v>
      </c>
      <c r="R86" s="37" t="s">
        <v>62</v>
      </c>
      <c r="S86" s="37" t="s">
        <v>63</v>
      </c>
      <c r="T86" s="37" t="s">
        <v>387</v>
      </c>
      <c r="U86" s="37"/>
      <c r="V86" s="37"/>
      <c r="W86" s="37" t="s">
        <v>638</v>
      </c>
      <c r="X86" s="37" t="n">
        <v>22</v>
      </c>
      <c r="Y86" s="37"/>
      <c r="Z86" s="37"/>
      <c r="AA86" s="37"/>
      <c r="AB86" s="37"/>
      <c r="AC86" s="37"/>
      <c r="AD86" s="37"/>
      <c r="AE86" s="37"/>
      <c r="AF86" s="37" t="s">
        <v>389</v>
      </c>
      <c r="AG86" s="62" t="s">
        <v>446</v>
      </c>
      <c r="AH86" s="63" t="s">
        <v>461</v>
      </c>
      <c r="AI86" s="62" t="n">
        <v>0.22</v>
      </c>
      <c r="AJ86" s="37" t="s">
        <v>607</v>
      </c>
      <c r="AK86" s="37" t="n">
        <f aca="false">SUM(Table1[[#This Row],[reported_1302]:[reported_1286_iso]])</f>
        <v>100</v>
      </c>
      <c r="AL86" s="64" t="n">
        <v>43.96</v>
      </c>
      <c r="AM86" s="64" t="n">
        <v>3.36</v>
      </c>
      <c r="AN86" s="64" t="n">
        <v>1.41</v>
      </c>
      <c r="AO86" s="64" t="n">
        <v>1.32</v>
      </c>
      <c r="AP86" s="64" t="n">
        <v>49.78</v>
      </c>
      <c r="AQ86" s="64" t="n">
        <v>0.17</v>
      </c>
      <c r="AR86" s="64"/>
      <c r="AS86" s="64"/>
      <c r="AT86" s="64"/>
      <c r="AU86" s="64"/>
      <c r="AV86" s="64"/>
      <c r="AW86" s="64"/>
      <c r="AX86" s="64"/>
      <c r="AY86" s="64"/>
      <c r="AZ86" s="64"/>
      <c r="BA86" s="64" t="n">
        <f aca="false">AL86/SUM($AL86:$AQ86)</f>
        <v>0.4396</v>
      </c>
      <c r="BB86" s="64" t="n">
        <f aca="false">AM86/SUM($AL86:$AQ86)</f>
        <v>0.0336</v>
      </c>
      <c r="BC86" s="64" t="n">
        <f aca="false">AN86/SUM($AL86:$AQ86)</f>
        <v>0.0141</v>
      </c>
      <c r="BD86" s="64" t="n">
        <f aca="false">AO86/SUM($AL86:$AQ86)</f>
        <v>0.0132</v>
      </c>
      <c r="BE86" s="64" t="n">
        <f aca="false">AP86/SUM($AL86:$AQ86)</f>
        <v>0.4978</v>
      </c>
      <c r="BF86" s="64" t="n">
        <f aca="false">AQ86/SUM($AL86:$AQ86)</f>
        <v>0.0017</v>
      </c>
      <c r="BG86" s="65" t="e">
        <f aca="false">#N/A</f>
        <v>#N/A</v>
      </c>
      <c r="BH86" s="37" t="s">
        <v>393</v>
      </c>
      <c r="BI86" s="37" t="s">
        <v>463</v>
      </c>
      <c r="BJ86" s="37" t="s">
        <v>608</v>
      </c>
      <c r="BK86" s="40" t="s">
        <v>4</v>
      </c>
      <c r="BL86" s="37" t="s">
        <v>4</v>
      </c>
      <c r="BM86" s="37" t="s">
        <v>397</v>
      </c>
      <c r="BN86" s="37" t="s">
        <v>397</v>
      </c>
      <c r="BO86" s="37" t="s">
        <v>595</v>
      </c>
      <c r="BP86" s="37" t="s">
        <v>397</v>
      </c>
      <c r="BQ86" s="37" t="s">
        <v>397</v>
      </c>
      <c r="BR86" s="37" t="s">
        <v>405</v>
      </c>
      <c r="BS86" s="37" t="s">
        <v>405</v>
      </c>
      <c r="BT86" s="37" t="s">
        <v>67</v>
      </c>
      <c r="BU86" s="37" t="s">
        <v>609</v>
      </c>
      <c r="BV86" s="37" t="s">
        <v>68</v>
      </c>
      <c r="BW86" s="37" t="s">
        <v>402</v>
      </c>
    </row>
    <row r="87" customFormat="false" ht="14.9" hidden="false" customHeight="false" outlineLevel="0" collapsed="false">
      <c r="A87" s="37" t="s">
        <v>639</v>
      </c>
      <c r="B87" s="62" t="s">
        <v>59</v>
      </c>
      <c r="C87" s="37" t="s">
        <v>58</v>
      </c>
      <c r="D87" s="37" t="n">
        <f aca="false">INDEX(Strain_IDs!C:C,MATCH(Table1[[#This Row],[Strains]],Strain_IDs!D:D,0))</f>
        <v>1</v>
      </c>
      <c r="E87" s="37" t="s">
        <v>382</v>
      </c>
      <c r="F87" s="37" t="s">
        <v>20</v>
      </c>
      <c r="G87" s="37" t="s">
        <v>21</v>
      </c>
      <c r="H87" s="37" t="s">
        <v>27</v>
      </c>
      <c r="I87" s="37" t="s">
        <v>455</v>
      </c>
      <c r="J87" s="37"/>
      <c r="K87" s="37" t="s">
        <v>384</v>
      </c>
      <c r="L87" s="37" t="s">
        <v>20</v>
      </c>
      <c r="M87" s="37" t="s">
        <v>385</v>
      </c>
      <c r="N87" s="37" t="s">
        <v>27</v>
      </c>
      <c r="O87" s="40" t="s">
        <v>455</v>
      </c>
      <c r="P87" s="40"/>
      <c r="Q87" s="37" t="s">
        <v>456</v>
      </c>
      <c r="R87" s="37" t="s">
        <v>62</v>
      </c>
      <c r="S87" s="37" t="s">
        <v>63</v>
      </c>
      <c r="T87" s="37" t="s">
        <v>387</v>
      </c>
      <c r="U87" s="37"/>
      <c r="V87" s="37"/>
      <c r="W87" s="37" t="s">
        <v>640</v>
      </c>
      <c r="X87" s="37" t="n">
        <v>25</v>
      </c>
      <c r="Y87" s="37"/>
      <c r="Z87" s="37"/>
      <c r="AA87" s="37"/>
      <c r="AB87" s="37"/>
      <c r="AC87" s="37"/>
      <c r="AD87" s="37"/>
      <c r="AE87" s="37"/>
      <c r="AF87" s="37" t="s">
        <v>389</v>
      </c>
      <c r="AG87" s="62" t="s">
        <v>446</v>
      </c>
      <c r="AH87" s="63" t="s">
        <v>461</v>
      </c>
      <c r="AI87" s="62" t="n">
        <v>0.22</v>
      </c>
      <c r="AJ87" s="37" t="s">
        <v>607</v>
      </c>
      <c r="AK87" s="37" t="n">
        <f aca="false">SUM(Table1[[#This Row],[reported_1302]:[reported_1286_iso]])</f>
        <v>100</v>
      </c>
      <c r="AL87" s="64" t="n">
        <v>38.81</v>
      </c>
      <c r="AM87" s="64" t="n">
        <v>3.78</v>
      </c>
      <c r="AN87" s="64" t="n">
        <v>1.46</v>
      </c>
      <c r="AO87" s="64" t="n">
        <v>0.96</v>
      </c>
      <c r="AP87" s="64" t="n">
        <v>54.65</v>
      </c>
      <c r="AQ87" s="64" t="n">
        <v>0.34</v>
      </c>
      <c r="AR87" s="64"/>
      <c r="AS87" s="64"/>
      <c r="AT87" s="64"/>
      <c r="AU87" s="64"/>
      <c r="AV87" s="64"/>
      <c r="AW87" s="64"/>
      <c r="AX87" s="64"/>
      <c r="AY87" s="64"/>
      <c r="AZ87" s="64"/>
      <c r="BA87" s="64" t="n">
        <f aca="false">AL87/SUM($AL87:$AQ87)</f>
        <v>0.3881</v>
      </c>
      <c r="BB87" s="64" t="n">
        <f aca="false">AM87/SUM($AL87:$AQ87)</f>
        <v>0.0378</v>
      </c>
      <c r="BC87" s="64" t="n">
        <f aca="false">AN87/SUM($AL87:$AQ87)</f>
        <v>0.0146</v>
      </c>
      <c r="BD87" s="64" t="n">
        <f aca="false">AO87/SUM($AL87:$AQ87)</f>
        <v>0.0096</v>
      </c>
      <c r="BE87" s="64" t="n">
        <f aca="false">AP87/SUM($AL87:$AQ87)</f>
        <v>0.5465</v>
      </c>
      <c r="BF87" s="64" t="n">
        <f aca="false">AQ87/SUM($AL87:$AQ87)</f>
        <v>0.0034</v>
      </c>
      <c r="BG87" s="65" t="e">
        <f aca="false">#N/A</f>
        <v>#N/A</v>
      </c>
      <c r="BH87" s="37" t="s">
        <v>393</v>
      </c>
      <c r="BI87" s="37" t="s">
        <v>463</v>
      </c>
      <c r="BJ87" s="37" t="s">
        <v>608</v>
      </c>
      <c r="BK87" s="40" t="s">
        <v>4</v>
      </c>
      <c r="BL87" s="37" t="s">
        <v>4</v>
      </c>
      <c r="BM87" s="37" t="s">
        <v>397</v>
      </c>
      <c r="BN87" s="37" t="s">
        <v>397</v>
      </c>
      <c r="BO87" s="37" t="s">
        <v>595</v>
      </c>
      <c r="BP87" s="37" t="s">
        <v>397</v>
      </c>
      <c r="BQ87" s="37" t="s">
        <v>397</v>
      </c>
      <c r="BR87" s="37" t="s">
        <v>405</v>
      </c>
      <c r="BS87" s="37" t="s">
        <v>405</v>
      </c>
      <c r="BT87" s="37" t="s">
        <v>67</v>
      </c>
      <c r="BU87" s="37" t="s">
        <v>609</v>
      </c>
      <c r="BV87" s="37" t="s">
        <v>68</v>
      </c>
      <c r="BW87" s="37" t="s">
        <v>402</v>
      </c>
    </row>
    <row r="88" customFormat="false" ht="14.9" hidden="false" customHeight="false" outlineLevel="0" collapsed="false">
      <c r="A88" s="37" t="s">
        <v>641</v>
      </c>
      <c r="B88" s="62" t="s">
        <v>87</v>
      </c>
      <c r="C88" s="37" t="s">
        <v>86</v>
      </c>
      <c r="D88" s="37" t="n">
        <f aca="false">INDEX(Strain_IDs!C:C,MATCH(Table1[[#This Row],[Strains]],Strain_IDs!D:D,0))</f>
        <v>4</v>
      </c>
      <c r="E88" s="37" t="s">
        <v>382</v>
      </c>
      <c r="F88" s="37" t="s">
        <v>20</v>
      </c>
      <c r="G88" s="37" t="s">
        <v>21</v>
      </c>
      <c r="H88" s="37" t="s">
        <v>27</v>
      </c>
      <c r="I88" s="37" t="s">
        <v>455</v>
      </c>
      <c r="J88" s="37" t="s">
        <v>642</v>
      </c>
      <c r="K88" s="37" t="s">
        <v>384</v>
      </c>
      <c r="L88" s="37" t="s">
        <v>20</v>
      </c>
      <c r="M88" s="37" t="s">
        <v>385</v>
      </c>
      <c r="N88" s="37" t="s">
        <v>27</v>
      </c>
      <c r="O88" s="40" t="s">
        <v>455</v>
      </c>
      <c r="P88" s="40" t="s">
        <v>642</v>
      </c>
      <c r="Q88" s="37" t="s">
        <v>456</v>
      </c>
      <c r="R88" s="37" t="s">
        <v>62</v>
      </c>
      <c r="S88" s="37" t="s">
        <v>63</v>
      </c>
      <c r="T88" s="37" t="s">
        <v>387</v>
      </c>
      <c r="U88" s="37" t="s">
        <v>643</v>
      </c>
      <c r="V88" s="37" t="s">
        <v>134</v>
      </c>
      <c r="W88" s="37" t="s">
        <v>644</v>
      </c>
      <c r="X88" s="37" t="n">
        <v>25</v>
      </c>
      <c r="Y88" s="37"/>
      <c r="Z88" s="37"/>
      <c r="AA88" s="37"/>
      <c r="AB88" s="37"/>
      <c r="AC88" s="37"/>
      <c r="AD88" s="37"/>
      <c r="AE88" s="37"/>
      <c r="AF88" s="37" t="s">
        <v>389</v>
      </c>
      <c r="AG88" s="62" t="s">
        <v>446</v>
      </c>
      <c r="AH88" s="63" t="s">
        <v>461</v>
      </c>
      <c r="AI88" s="62" t="n">
        <v>0.22</v>
      </c>
      <c r="AJ88" s="37" t="s">
        <v>607</v>
      </c>
      <c r="AK88" s="37" t="n">
        <f aca="false">SUM(Table1[[#This Row],[reported_1302]:[reported_1286_iso]])</f>
        <v>100</v>
      </c>
      <c r="AL88" s="64" t="n">
        <v>25.33</v>
      </c>
      <c r="AM88" s="64" t="n">
        <v>12.59</v>
      </c>
      <c r="AN88" s="64" t="n">
        <v>5.53</v>
      </c>
      <c r="AO88" s="64" t="n">
        <v>1.83</v>
      </c>
      <c r="AP88" s="64" t="n">
        <v>54.41</v>
      </c>
      <c r="AQ88" s="64" t="n">
        <v>0.31</v>
      </c>
      <c r="AR88" s="64"/>
      <c r="AS88" s="64"/>
      <c r="AT88" s="64"/>
      <c r="AU88" s="64"/>
      <c r="AV88" s="64"/>
      <c r="AW88" s="64"/>
      <c r="AX88" s="64"/>
      <c r="AY88" s="64"/>
      <c r="AZ88" s="64"/>
      <c r="BA88" s="64" t="n">
        <f aca="false">AL88/SUM($AL88:$AQ88)</f>
        <v>0.2533</v>
      </c>
      <c r="BB88" s="64" t="n">
        <f aca="false">AM88/SUM($AL88:$AQ88)</f>
        <v>0.1259</v>
      </c>
      <c r="BC88" s="64" t="n">
        <f aca="false">AN88/SUM($AL88:$AQ88)</f>
        <v>0.0553</v>
      </c>
      <c r="BD88" s="64" t="n">
        <f aca="false">AO88/SUM($AL88:$AQ88)</f>
        <v>0.0183</v>
      </c>
      <c r="BE88" s="64" t="n">
        <f aca="false">AP88/SUM($AL88:$AQ88)</f>
        <v>0.5441</v>
      </c>
      <c r="BF88" s="64" t="n">
        <f aca="false">AQ88/SUM($AL88:$AQ88)</f>
        <v>0.0031</v>
      </c>
      <c r="BG88" s="65" t="e">
        <f aca="false">#N/A</f>
        <v>#N/A</v>
      </c>
      <c r="BH88" s="37" t="s">
        <v>393</v>
      </c>
      <c r="BI88" s="37" t="s">
        <v>463</v>
      </c>
      <c r="BJ88" s="37" t="s">
        <v>608</v>
      </c>
      <c r="BK88" s="40" t="s">
        <v>4</v>
      </c>
      <c r="BL88" s="37" t="s">
        <v>4</v>
      </c>
      <c r="BM88" s="37" t="s">
        <v>397</v>
      </c>
      <c r="BN88" s="37" t="s">
        <v>397</v>
      </c>
      <c r="BO88" s="37" t="s">
        <v>595</v>
      </c>
      <c r="BP88" s="37" t="s">
        <v>397</v>
      </c>
      <c r="BQ88" s="37" t="s">
        <v>397</v>
      </c>
      <c r="BR88" s="37" t="s">
        <v>405</v>
      </c>
      <c r="BS88" s="37" t="s">
        <v>405</v>
      </c>
      <c r="BT88" s="37" t="s">
        <v>67</v>
      </c>
      <c r="BU88" s="37" t="s">
        <v>609</v>
      </c>
      <c r="BV88" s="37" t="s">
        <v>68</v>
      </c>
      <c r="BW88" s="37" t="s">
        <v>402</v>
      </c>
    </row>
    <row r="89" customFormat="false" ht="14.9" hidden="false" customHeight="false" outlineLevel="0" collapsed="false">
      <c r="A89" s="37" t="s">
        <v>645</v>
      </c>
      <c r="B89" s="62" t="s">
        <v>130</v>
      </c>
      <c r="C89" s="37" t="s">
        <v>129</v>
      </c>
      <c r="D89" s="37" t="n">
        <f aca="false">INDEX(Strain_IDs!C:C,MATCH(Table1[[#This Row],[Strains]],Strain_IDs!D:D,0))</f>
        <v>7</v>
      </c>
      <c r="E89" s="37" t="s">
        <v>382</v>
      </c>
      <c r="F89" s="37" t="s">
        <v>20</v>
      </c>
      <c r="G89" s="37" t="s">
        <v>21</v>
      </c>
      <c r="H89" s="37" t="s">
        <v>27</v>
      </c>
      <c r="I89" s="37" t="s">
        <v>455</v>
      </c>
      <c r="J89" s="37" t="s">
        <v>480</v>
      </c>
      <c r="K89" s="37" t="s">
        <v>384</v>
      </c>
      <c r="L89" s="37" t="s">
        <v>20</v>
      </c>
      <c r="M89" s="37" t="s">
        <v>385</v>
      </c>
      <c r="N89" s="37" t="s">
        <v>27</v>
      </c>
      <c r="O89" s="40" t="s">
        <v>455</v>
      </c>
      <c r="P89" s="40" t="s">
        <v>480</v>
      </c>
      <c r="Q89" s="37" t="s">
        <v>456</v>
      </c>
      <c r="R89" s="37" t="s">
        <v>62</v>
      </c>
      <c r="S89" s="37" t="s">
        <v>63</v>
      </c>
      <c r="T89" s="37" t="s">
        <v>387</v>
      </c>
      <c r="U89" s="37" t="s">
        <v>133</v>
      </c>
      <c r="V89" s="37" t="s">
        <v>134</v>
      </c>
      <c r="W89" s="37" t="s">
        <v>646</v>
      </c>
      <c r="X89" s="37" t="n">
        <v>30</v>
      </c>
      <c r="Y89" s="37"/>
      <c r="Z89" s="37"/>
      <c r="AA89" s="37" t="n">
        <v>1</v>
      </c>
      <c r="AB89" s="37"/>
      <c r="AC89" s="37"/>
      <c r="AD89" s="37"/>
      <c r="AE89" s="37"/>
      <c r="AF89" s="37" t="s">
        <v>647</v>
      </c>
      <c r="AG89" s="62" t="s">
        <v>446</v>
      </c>
      <c r="AH89" s="63" t="s">
        <v>461</v>
      </c>
      <c r="AI89" s="62"/>
      <c r="AJ89" s="37" t="s">
        <v>607</v>
      </c>
      <c r="AK89" s="37" t="n">
        <f aca="false">SUM(Table1[[#This Row],[reported_1302]:[reported_1286_iso]])</f>
        <v>99.81</v>
      </c>
      <c r="AL89" s="64" t="n">
        <v>4.21</v>
      </c>
      <c r="AM89" s="64" t="n">
        <v>2.7</v>
      </c>
      <c r="AN89" s="64" t="n">
        <v>16.6</v>
      </c>
      <c r="AO89" s="64" t="n">
        <v>4.99</v>
      </c>
      <c r="AP89" s="64" t="n">
        <v>70.03</v>
      </c>
      <c r="AQ89" s="64" t="n">
        <v>1.28</v>
      </c>
      <c r="AR89" s="64"/>
      <c r="AS89" s="64"/>
      <c r="AT89" s="64"/>
      <c r="AU89" s="64"/>
      <c r="AV89" s="64"/>
      <c r="AW89" s="64"/>
      <c r="AX89" s="64"/>
      <c r="AY89" s="64"/>
      <c r="AZ89" s="64"/>
      <c r="BA89" s="64" t="n">
        <f aca="false">AL89/SUM($AL89:$AQ89)</f>
        <v>0.0421801422703136</v>
      </c>
      <c r="BB89" s="64" t="n">
        <f aca="false">AM89/SUM($AL89:$AQ89)</f>
        <v>0.0270513976555455</v>
      </c>
      <c r="BC89" s="64" t="n">
        <f aca="false">AN89/SUM($AL89:$AQ89)</f>
        <v>0.166316000400761</v>
      </c>
      <c r="BD89" s="64" t="n">
        <f aca="false">AO89/SUM($AL89:$AQ89)</f>
        <v>0.0499949904819156</v>
      </c>
      <c r="BE89" s="64" t="n">
        <f aca="false">AP89/SUM($AL89:$AQ89)</f>
        <v>0.701633102895501</v>
      </c>
      <c r="BF89" s="64" t="n">
        <f aca="false">AQ89/SUM($AL89:$AQ89)</f>
        <v>0.0128243662959623</v>
      </c>
      <c r="BG89" s="65" t="e">
        <f aca="false">#N/A</f>
        <v>#N/A</v>
      </c>
      <c r="BH89" s="37" t="s">
        <v>393</v>
      </c>
      <c r="BI89" s="37" t="s">
        <v>463</v>
      </c>
      <c r="BJ89" s="37" t="s">
        <v>608</v>
      </c>
      <c r="BK89" s="40" t="s">
        <v>4</v>
      </c>
      <c r="BL89" s="37" t="s">
        <v>4</v>
      </c>
      <c r="BM89" s="37" t="s">
        <v>397</v>
      </c>
      <c r="BN89" s="37" t="s">
        <v>397</v>
      </c>
      <c r="BO89" s="37" t="s">
        <v>595</v>
      </c>
      <c r="BP89" s="37" t="s">
        <v>397</v>
      </c>
      <c r="BQ89" s="37" t="s">
        <v>397</v>
      </c>
      <c r="BR89" s="37" t="s">
        <v>405</v>
      </c>
      <c r="BS89" s="37" t="s">
        <v>405</v>
      </c>
      <c r="BT89" s="37" t="s">
        <v>67</v>
      </c>
      <c r="BU89" s="37" t="s">
        <v>609</v>
      </c>
      <c r="BV89" s="37" t="s">
        <v>68</v>
      </c>
      <c r="BW89" s="37" t="s">
        <v>402</v>
      </c>
    </row>
    <row r="90" customFormat="false" ht="14.9" hidden="false" customHeight="false" outlineLevel="0" collapsed="false">
      <c r="A90" s="37" t="s">
        <v>648</v>
      </c>
      <c r="B90" s="62" t="s">
        <v>130</v>
      </c>
      <c r="C90" s="37" t="s">
        <v>129</v>
      </c>
      <c r="D90" s="37" t="n">
        <f aca="false">INDEX(Strain_IDs!C:C,MATCH(Table1[[#This Row],[Strains]],Strain_IDs!D:D,0))</f>
        <v>7</v>
      </c>
      <c r="E90" s="37" t="s">
        <v>382</v>
      </c>
      <c r="F90" s="37" t="s">
        <v>20</v>
      </c>
      <c r="G90" s="37" t="s">
        <v>21</v>
      </c>
      <c r="H90" s="37" t="s">
        <v>27</v>
      </c>
      <c r="I90" s="37" t="s">
        <v>455</v>
      </c>
      <c r="J90" s="37" t="s">
        <v>480</v>
      </c>
      <c r="K90" s="37" t="s">
        <v>384</v>
      </c>
      <c r="L90" s="37" t="s">
        <v>20</v>
      </c>
      <c r="M90" s="37" t="s">
        <v>385</v>
      </c>
      <c r="N90" s="37" t="s">
        <v>27</v>
      </c>
      <c r="O90" s="40" t="s">
        <v>455</v>
      </c>
      <c r="P90" s="40" t="s">
        <v>480</v>
      </c>
      <c r="Q90" s="37" t="s">
        <v>456</v>
      </c>
      <c r="R90" s="37" t="s">
        <v>62</v>
      </c>
      <c r="S90" s="37" t="s">
        <v>63</v>
      </c>
      <c r="T90" s="37" t="s">
        <v>387</v>
      </c>
      <c r="U90" s="37" t="s">
        <v>133</v>
      </c>
      <c r="V90" s="37" t="s">
        <v>134</v>
      </c>
      <c r="W90" s="37" t="s">
        <v>649</v>
      </c>
      <c r="X90" s="37" t="n">
        <v>30</v>
      </c>
      <c r="Y90" s="37"/>
      <c r="Z90" s="37"/>
      <c r="AA90" s="37" t="n">
        <v>11</v>
      </c>
      <c r="AB90" s="37"/>
      <c r="AC90" s="37"/>
      <c r="AD90" s="37"/>
      <c r="AE90" s="37"/>
      <c r="AF90" s="37" t="s">
        <v>647</v>
      </c>
      <c r="AG90" s="62" t="s">
        <v>446</v>
      </c>
      <c r="AH90" s="63" t="s">
        <v>461</v>
      </c>
      <c r="AI90" s="62"/>
      <c r="AJ90" s="37" t="s">
        <v>607</v>
      </c>
      <c r="AK90" s="37" t="n">
        <f aca="false">SUM(Table1[[#This Row],[reported_1302]:[reported_1286_iso]])</f>
        <v>99.99</v>
      </c>
      <c r="AL90" s="64" t="n">
        <v>3.84</v>
      </c>
      <c r="AM90" s="64" t="n">
        <v>3.17</v>
      </c>
      <c r="AN90" s="64" t="n">
        <v>16.26</v>
      </c>
      <c r="AO90" s="64" t="n">
        <v>4.19</v>
      </c>
      <c r="AP90" s="64" t="n">
        <v>71.35</v>
      </c>
      <c r="AQ90" s="64" t="n">
        <v>1.18</v>
      </c>
      <c r="AR90" s="64"/>
      <c r="AS90" s="64"/>
      <c r="AT90" s="64"/>
      <c r="AU90" s="64"/>
      <c r="AV90" s="64"/>
      <c r="AW90" s="64"/>
      <c r="AX90" s="64"/>
      <c r="AY90" s="64"/>
      <c r="AZ90" s="64"/>
      <c r="BA90" s="64" t="n">
        <f aca="false">AL90/SUM($AL90:$AQ90)</f>
        <v>0.0384038403840384</v>
      </c>
      <c r="BB90" s="64" t="n">
        <f aca="false">AM90/SUM($AL90:$AQ90)</f>
        <v>0.0317031703170317</v>
      </c>
      <c r="BC90" s="64" t="n">
        <f aca="false">AN90/SUM($AL90:$AQ90)</f>
        <v>0.162616261626163</v>
      </c>
      <c r="BD90" s="64" t="n">
        <f aca="false">AO90/SUM($AL90:$AQ90)</f>
        <v>0.0419041904190419</v>
      </c>
      <c r="BE90" s="64" t="n">
        <f aca="false">AP90/SUM($AL90:$AQ90)</f>
        <v>0.713571357135714</v>
      </c>
      <c r="BF90" s="64" t="n">
        <f aca="false">AQ90/SUM($AL90:$AQ90)</f>
        <v>0.0118011801180118</v>
      </c>
      <c r="BG90" s="65" t="e">
        <f aca="false">#N/A</f>
        <v>#N/A</v>
      </c>
      <c r="BH90" s="37" t="s">
        <v>393</v>
      </c>
      <c r="BI90" s="37" t="s">
        <v>463</v>
      </c>
      <c r="BJ90" s="37" t="s">
        <v>608</v>
      </c>
      <c r="BK90" s="40" t="s">
        <v>4</v>
      </c>
      <c r="BL90" s="37" t="s">
        <v>4</v>
      </c>
      <c r="BM90" s="37" t="s">
        <v>397</v>
      </c>
      <c r="BN90" s="37" t="s">
        <v>397</v>
      </c>
      <c r="BO90" s="37" t="s">
        <v>595</v>
      </c>
      <c r="BP90" s="37" t="s">
        <v>397</v>
      </c>
      <c r="BQ90" s="37" t="s">
        <v>397</v>
      </c>
      <c r="BR90" s="37" t="s">
        <v>405</v>
      </c>
      <c r="BS90" s="37" t="s">
        <v>405</v>
      </c>
      <c r="BT90" s="37" t="s">
        <v>67</v>
      </c>
      <c r="BU90" s="37" t="s">
        <v>609</v>
      </c>
      <c r="BV90" s="37" t="s">
        <v>68</v>
      </c>
      <c r="BW90" s="37" t="s">
        <v>402</v>
      </c>
    </row>
    <row r="91" customFormat="false" ht="14.9" hidden="false" customHeight="false" outlineLevel="0" collapsed="false">
      <c r="A91" s="37" t="s">
        <v>650</v>
      </c>
      <c r="B91" s="62" t="s">
        <v>130</v>
      </c>
      <c r="C91" s="37" t="s">
        <v>129</v>
      </c>
      <c r="D91" s="37" t="n">
        <f aca="false">INDEX(Strain_IDs!C:C,MATCH(Table1[[#This Row],[Strains]],Strain_IDs!D:D,0))</f>
        <v>7</v>
      </c>
      <c r="E91" s="37" t="s">
        <v>382</v>
      </c>
      <c r="F91" s="37" t="s">
        <v>20</v>
      </c>
      <c r="G91" s="37" t="s">
        <v>21</v>
      </c>
      <c r="H91" s="37" t="s">
        <v>27</v>
      </c>
      <c r="I91" s="37" t="s">
        <v>455</v>
      </c>
      <c r="J91" s="37" t="s">
        <v>480</v>
      </c>
      <c r="K91" s="37" t="s">
        <v>384</v>
      </c>
      <c r="L91" s="37" t="s">
        <v>20</v>
      </c>
      <c r="M91" s="37" t="s">
        <v>385</v>
      </c>
      <c r="N91" s="37" t="s">
        <v>27</v>
      </c>
      <c r="O91" s="40" t="s">
        <v>455</v>
      </c>
      <c r="P91" s="40" t="s">
        <v>480</v>
      </c>
      <c r="Q91" s="37" t="s">
        <v>456</v>
      </c>
      <c r="R91" s="37" t="s">
        <v>62</v>
      </c>
      <c r="S91" s="37" t="s">
        <v>63</v>
      </c>
      <c r="T91" s="37" t="s">
        <v>387</v>
      </c>
      <c r="U91" s="37" t="s">
        <v>133</v>
      </c>
      <c r="V91" s="37" t="s">
        <v>134</v>
      </c>
      <c r="W91" s="37" t="s">
        <v>651</v>
      </c>
      <c r="X91" s="37" t="n">
        <v>30</v>
      </c>
      <c r="Y91" s="37"/>
      <c r="Z91" s="37"/>
      <c r="AA91" s="37" t="n">
        <v>53</v>
      </c>
      <c r="AB91" s="37"/>
      <c r="AC91" s="37"/>
      <c r="AD91" s="37"/>
      <c r="AE91" s="37"/>
      <c r="AF91" s="37" t="s">
        <v>647</v>
      </c>
      <c r="AG91" s="62" t="s">
        <v>446</v>
      </c>
      <c r="AH91" s="63" t="s">
        <v>461</v>
      </c>
      <c r="AI91" s="62"/>
      <c r="AJ91" s="37" t="s">
        <v>607</v>
      </c>
      <c r="AK91" s="37" t="n">
        <f aca="false">SUM(Table1[[#This Row],[reported_1302]:[reported_1286_iso]])</f>
        <v>99.96</v>
      </c>
      <c r="AL91" s="64" t="n">
        <v>7.81</v>
      </c>
      <c r="AM91" s="64" t="n">
        <v>6.84</v>
      </c>
      <c r="AN91" s="64" t="n">
        <v>14.84</v>
      </c>
      <c r="AO91" s="64" t="n">
        <v>4.3</v>
      </c>
      <c r="AP91" s="64" t="n">
        <v>65.28</v>
      </c>
      <c r="AQ91" s="64" t="n">
        <v>0.89</v>
      </c>
      <c r="AR91" s="64"/>
      <c r="AS91" s="64"/>
      <c r="AT91" s="64"/>
      <c r="AU91" s="64"/>
      <c r="AV91" s="64"/>
      <c r="AW91" s="64"/>
      <c r="AX91" s="64"/>
      <c r="AY91" s="64"/>
      <c r="AZ91" s="64"/>
      <c r="BA91" s="64" t="n">
        <f aca="false">AL91/SUM($AL91:$AQ91)</f>
        <v>0.0781312525010004</v>
      </c>
      <c r="BB91" s="64" t="n">
        <f aca="false">AM91/SUM($AL91:$AQ91)</f>
        <v>0.0684273709483794</v>
      </c>
      <c r="BC91" s="64" t="n">
        <f aca="false">AN91/SUM($AL91:$AQ91)</f>
        <v>0.148459383753501</v>
      </c>
      <c r="BD91" s="64" t="n">
        <f aca="false">AO91/SUM($AL91:$AQ91)</f>
        <v>0.0430172068827531</v>
      </c>
      <c r="BE91" s="64" t="n">
        <f aca="false">AP91/SUM($AL91:$AQ91)</f>
        <v>0.653061224489796</v>
      </c>
      <c r="BF91" s="64" t="n">
        <f aca="false">AQ91/SUM($AL91:$AQ91)</f>
        <v>0.00890356142456983</v>
      </c>
      <c r="BG91" s="65" t="e">
        <f aca="false">#N/A</f>
        <v>#N/A</v>
      </c>
      <c r="BH91" s="37" t="s">
        <v>393</v>
      </c>
      <c r="BI91" s="37" t="s">
        <v>463</v>
      </c>
      <c r="BJ91" s="37" t="s">
        <v>608</v>
      </c>
      <c r="BK91" s="40" t="s">
        <v>4</v>
      </c>
      <c r="BL91" s="37" t="s">
        <v>4</v>
      </c>
      <c r="BM91" s="37" t="s">
        <v>397</v>
      </c>
      <c r="BN91" s="37" t="s">
        <v>397</v>
      </c>
      <c r="BO91" s="37" t="s">
        <v>595</v>
      </c>
      <c r="BP91" s="37" t="s">
        <v>397</v>
      </c>
      <c r="BQ91" s="37" t="s">
        <v>397</v>
      </c>
      <c r="BR91" s="37" t="s">
        <v>405</v>
      </c>
      <c r="BS91" s="37" t="s">
        <v>405</v>
      </c>
      <c r="BT91" s="37" t="s">
        <v>67</v>
      </c>
      <c r="BU91" s="37" t="s">
        <v>609</v>
      </c>
      <c r="BV91" s="37" t="s">
        <v>68</v>
      </c>
      <c r="BW91" s="37" t="s">
        <v>402</v>
      </c>
    </row>
    <row r="92" customFormat="false" ht="14.9" hidden="false" customHeight="false" outlineLevel="0" collapsed="false">
      <c r="A92" s="37" t="s">
        <v>652</v>
      </c>
      <c r="B92" s="62" t="s">
        <v>130</v>
      </c>
      <c r="C92" s="37" t="s">
        <v>129</v>
      </c>
      <c r="D92" s="37" t="n">
        <f aca="false">INDEX(Strain_IDs!C:C,MATCH(Table1[[#This Row],[Strains]],Strain_IDs!D:D,0))</f>
        <v>7</v>
      </c>
      <c r="E92" s="37" t="s">
        <v>382</v>
      </c>
      <c r="F92" s="37" t="s">
        <v>20</v>
      </c>
      <c r="G92" s="37" t="s">
        <v>21</v>
      </c>
      <c r="H92" s="37" t="s">
        <v>27</v>
      </c>
      <c r="I92" s="37" t="s">
        <v>455</v>
      </c>
      <c r="J92" s="37" t="s">
        <v>480</v>
      </c>
      <c r="K92" s="37" t="s">
        <v>384</v>
      </c>
      <c r="L92" s="37" t="s">
        <v>20</v>
      </c>
      <c r="M92" s="37" t="s">
        <v>385</v>
      </c>
      <c r="N92" s="37" t="s">
        <v>27</v>
      </c>
      <c r="O92" s="40" t="s">
        <v>455</v>
      </c>
      <c r="P92" s="40" t="s">
        <v>480</v>
      </c>
      <c r="Q92" s="37" t="s">
        <v>456</v>
      </c>
      <c r="R92" s="37" t="s">
        <v>62</v>
      </c>
      <c r="S92" s="37" t="s">
        <v>63</v>
      </c>
      <c r="T92" s="37" t="s">
        <v>387</v>
      </c>
      <c r="U92" s="37" t="s">
        <v>133</v>
      </c>
      <c r="V92" s="37" t="s">
        <v>134</v>
      </c>
      <c r="W92" s="37" t="s">
        <v>653</v>
      </c>
      <c r="X92" s="37" t="n">
        <v>30</v>
      </c>
      <c r="Y92" s="37"/>
      <c r="Z92" s="37"/>
      <c r="AA92" s="37" t="n">
        <v>106</v>
      </c>
      <c r="AB92" s="37"/>
      <c r="AC92" s="37"/>
      <c r="AD92" s="37"/>
      <c r="AE92" s="37"/>
      <c r="AF92" s="37" t="s">
        <v>647</v>
      </c>
      <c r="AG92" s="62" t="s">
        <v>446</v>
      </c>
      <c r="AH92" s="63" t="s">
        <v>461</v>
      </c>
      <c r="AI92" s="62"/>
      <c r="AJ92" s="37" t="s">
        <v>607</v>
      </c>
      <c r="AK92" s="37" t="n">
        <f aca="false">SUM(Table1[[#This Row],[reported_1302]:[reported_1286_iso]])</f>
        <v>99.92</v>
      </c>
      <c r="AL92" s="64" t="n">
        <v>8.95</v>
      </c>
      <c r="AM92" s="64" t="n">
        <v>7.04</v>
      </c>
      <c r="AN92" s="64" t="n">
        <v>13.43</v>
      </c>
      <c r="AO92" s="64" t="n">
        <v>4.16</v>
      </c>
      <c r="AP92" s="64" t="n">
        <v>65.72</v>
      </c>
      <c r="AQ92" s="64" t="n">
        <v>0.62</v>
      </c>
      <c r="AR92" s="64"/>
      <c r="AS92" s="64"/>
      <c r="AT92" s="64"/>
      <c r="AU92" s="64"/>
      <c r="AV92" s="64"/>
      <c r="AW92" s="64"/>
      <c r="AX92" s="64"/>
      <c r="AY92" s="64"/>
      <c r="AZ92" s="64"/>
      <c r="BA92" s="64" t="n">
        <f aca="false">AL92/SUM($AL92:$AQ92)</f>
        <v>0.0895716573258607</v>
      </c>
      <c r="BB92" s="64" t="n">
        <f aca="false">AM92/SUM($AL92:$AQ92)</f>
        <v>0.0704563650920737</v>
      </c>
      <c r="BC92" s="64" t="n">
        <f aca="false">AN92/SUM($AL92:$AQ92)</f>
        <v>0.134407526020817</v>
      </c>
      <c r="BD92" s="64" t="n">
        <f aca="false">AO92/SUM($AL92:$AQ92)</f>
        <v>0.0416333066453163</v>
      </c>
      <c r="BE92" s="64" t="n">
        <f aca="false">AP92/SUM($AL92:$AQ92)</f>
        <v>0.657726180944756</v>
      </c>
      <c r="BF92" s="64" t="n">
        <f aca="false">AQ92/SUM($AL92:$AQ92)</f>
        <v>0.00620496397117694</v>
      </c>
      <c r="BG92" s="65" t="e">
        <f aca="false">#N/A</f>
        <v>#N/A</v>
      </c>
      <c r="BH92" s="37" t="s">
        <v>393</v>
      </c>
      <c r="BI92" s="37" t="s">
        <v>463</v>
      </c>
      <c r="BJ92" s="37" t="s">
        <v>608</v>
      </c>
      <c r="BK92" s="40" t="s">
        <v>4</v>
      </c>
      <c r="BL92" s="37" t="s">
        <v>4</v>
      </c>
      <c r="BM92" s="37" t="s">
        <v>397</v>
      </c>
      <c r="BN92" s="37" t="s">
        <v>397</v>
      </c>
      <c r="BO92" s="37" t="s">
        <v>595</v>
      </c>
      <c r="BP92" s="37" t="s">
        <v>397</v>
      </c>
      <c r="BQ92" s="37" t="s">
        <v>397</v>
      </c>
      <c r="BR92" s="37" t="s">
        <v>405</v>
      </c>
      <c r="BS92" s="37" t="s">
        <v>405</v>
      </c>
      <c r="BT92" s="37" t="s">
        <v>67</v>
      </c>
      <c r="BU92" s="37" t="s">
        <v>609</v>
      </c>
      <c r="BV92" s="37" t="s">
        <v>68</v>
      </c>
      <c r="BW92" s="37" t="s">
        <v>402</v>
      </c>
    </row>
    <row r="93" customFormat="false" ht="14.9" hidden="false" customHeight="false" outlineLevel="0" collapsed="false">
      <c r="A93" s="37" t="s">
        <v>654</v>
      </c>
      <c r="B93" s="62" t="s">
        <v>130</v>
      </c>
      <c r="C93" s="37" t="s">
        <v>129</v>
      </c>
      <c r="D93" s="37" t="n">
        <f aca="false">INDEX(Strain_IDs!C:C,MATCH(Table1[[#This Row],[Strains]],Strain_IDs!D:D,0))</f>
        <v>7</v>
      </c>
      <c r="E93" s="37" t="s">
        <v>382</v>
      </c>
      <c r="F93" s="37" t="s">
        <v>20</v>
      </c>
      <c r="G93" s="37" t="s">
        <v>21</v>
      </c>
      <c r="H93" s="37" t="s">
        <v>27</v>
      </c>
      <c r="I93" s="37" t="s">
        <v>455</v>
      </c>
      <c r="J93" s="37" t="s">
        <v>480</v>
      </c>
      <c r="K93" s="37" t="s">
        <v>384</v>
      </c>
      <c r="L93" s="37" t="s">
        <v>20</v>
      </c>
      <c r="M93" s="37" t="s">
        <v>385</v>
      </c>
      <c r="N93" s="37" t="s">
        <v>27</v>
      </c>
      <c r="O93" s="40" t="s">
        <v>455</v>
      </c>
      <c r="P93" s="40" t="s">
        <v>480</v>
      </c>
      <c r="Q93" s="37" t="s">
        <v>456</v>
      </c>
      <c r="R93" s="37" t="s">
        <v>62</v>
      </c>
      <c r="S93" s="37" t="s">
        <v>63</v>
      </c>
      <c r="T93" s="37" t="s">
        <v>387</v>
      </c>
      <c r="U93" s="37" t="s">
        <v>133</v>
      </c>
      <c r="V93" s="37" t="s">
        <v>134</v>
      </c>
      <c r="W93" s="37" t="s">
        <v>655</v>
      </c>
      <c r="X93" s="37" t="n">
        <v>30</v>
      </c>
      <c r="Y93" s="37"/>
      <c r="Z93" s="37"/>
      <c r="AA93" s="37" t="n">
        <v>213</v>
      </c>
      <c r="AB93" s="37"/>
      <c r="AC93" s="37"/>
      <c r="AD93" s="37"/>
      <c r="AE93" s="37"/>
      <c r="AF93" s="37" t="s">
        <v>647</v>
      </c>
      <c r="AG93" s="62" t="s">
        <v>446</v>
      </c>
      <c r="AH93" s="63" t="s">
        <v>461</v>
      </c>
      <c r="AI93" s="62"/>
      <c r="AJ93" s="37" t="s">
        <v>607</v>
      </c>
      <c r="AK93" s="37" t="n">
        <f aca="false">SUM(Table1[[#This Row],[reported_1302]:[reported_1286_iso]])</f>
        <v>99.82</v>
      </c>
      <c r="AL93" s="64" t="n">
        <v>10.32</v>
      </c>
      <c r="AM93" s="64" t="n">
        <v>7.93</v>
      </c>
      <c r="AN93" s="64" t="n">
        <v>12.42</v>
      </c>
      <c r="AO93" s="64" t="n">
        <v>4.26</v>
      </c>
      <c r="AP93" s="64" t="n">
        <v>64.28</v>
      </c>
      <c r="AQ93" s="64" t="n">
        <v>0.61</v>
      </c>
      <c r="AR93" s="64"/>
      <c r="AS93" s="64"/>
      <c r="AT93" s="64"/>
      <c r="AU93" s="64"/>
      <c r="AV93" s="64"/>
      <c r="AW93" s="64"/>
      <c r="AX93" s="64"/>
      <c r="AY93" s="64"/>
      <c r="AZ93" s="64"/>
      <c r="BA93" s="64" t="n">
        <f aca="false">AL93/SUM($AL93:$AQ93)</f>
        <v>0.103386094970948</v>
      </c>
      <c r="BB93" s="64" t="n">
        <f aca="false">AM93/SUM($AL93:$AQ93)</f>
        <v>0.0794429973953116</v>
      </c>
      <c r="BC93" s="64" t="n">
        <f aca="false">AN93/SUM($AL93:$AQ93)</f>
        <v>0.124423963133641</v>
      </c>
      <c r="BD93" s="64" t="n">
        <f aca="false">AO93/SUM($AL93:$AQ93)</f>
        <v>0.0426768182728912</v>
      </c>
      <c r="BE93" s="64" t="n">
        <f aca="false">AP93/SUM($AL93:$AQ93)</f>
        <v>0.64395912642757</v>
      </c>
      <c r="BF93" s="64" t="n">
        <f aca="false">AQ93/SUM($AL93:$AQ93)</f>
        <v>0.00611099979963935</v>
      </c>
      <c r="BG93" s="65" t="e">
        <f aca="false">#N/A</f>
        <v>#N/A</v>
      </c>
      <c r="BH93" s="37" t="s">
        <v>393</v>
      </c>
      <c r="BI93" s="37" t="s">
        <v>463</v>
      </c>
      <c r="BJ93" s="37" t="s">
        <v>608</v>
      </c>
      <c r="BK93" s="40" t="s">
        <v>4</v>
      </c>
      <c r="BL93" s="37" t="s">
        <v>4</v>
      </c>
      <c r="BM93" s="37" t="s">
        <v>397</v>
      </c>
      <c r="BN93" s="37" t="s">
        <v>397</v>
      </c>
      <c r="BO93" s="37" t="s">
        <v>595</v>
      </c>
      <c r="BP93" s="37" t="s">
        <v>397</v>
      </c>
      <c r="BQ93" s="37" t="s">
        <v>397</v>
      </c>
      <c r="BR93" s="37" t="s">
        <v>405</v>
      </c>
      <c r="BS93" s="37" t="s">
        <v>405</v>
      </c>
      <c r="BT93" s="37" t="s">
        <v>67</v>
      </c>
      <c r="BU93" s="37" t="s">
        <v>609</v>
      </c>
      <c r="BV93" s="37" t="s">
        <v>68</v>
      </c>
      <c r="BW93" s="37" t="s">
        <v>402</v>
      </c>
    </row>
    <row r="94" customFormat="false" ht="14.9" hidden="false" customHeight="false" outlineLevel="0" collapsed="false">
      <c r="A94" s="37" t="s">
        <v>656</v>
      </c>
      <c r="B94" s="62" t="s">
        <v>87</v>
      </c>
      <c r="C94" s="37" t="s">
        <v>86</v>
      </c>
      <c r="D94" s="37" t="n">
        <f aca="false">INDEX(Strain_IDs!C:C,MATCH(Table1[[#This Row],[Strains]],Strain_IDs!D:D,0))</f>
        <v>4</v>
      </c>
      <c r="E94" s="37" t="s">
        <v>382</v>
      </c>
      <c r="F94" s="37" t="s">
        <v>20</v>
      </c>
      <c r="G94" s="37" t="s">
        <v>21</v>
      </c>
      <c r="H94" s="37" t="s">
        <v>27</v>
      </c>
      <c r="I94" s="37" t="s">
        <v>455</v>
      </c>
      <c r="J94" s="37" t="s">
        <v>642</v>
      </c>
      <c r="K94" s="37" t="s">
        <v>384</v>
      </c>
      <c r="L94" s="37" t="s">
        <v>20</v>
      </c>
      <c r="M94" s="37" t="s">
        <v>385</v>
      </c>
      <c r="N94" s="37" t="s">
        <v>27</v>
      </c>
      <c r="O94" s="40" t="s">
        <v>455</v>
      </c>
      <c r="P94" s="40" t="s">
        <v>642</v>
      </c>
      <c r="Q94" s="37" t="s">
        <v>456</v>
      </c>
      <c r="R94" s="37" t="s">
        <v>62</v>
      </c>
      <c r="S94" s="37" t="s">
        <v>63</v>
      </c>
      <c r="T94" s="37" t="s">
        <v>387</v>
      </c>
      <c r="U94" s="37" t="s">
        <v>643</v>
      </c>
      <c r="V94" s="37" t="s">
        <v>134</v>
      </c>
      <c r="W94" s="37" t="s">
        <v>657</v>
      </c>
      <c r="X94" s="37" t="n">
        <v>26</v>
      </c>
      <c r="Y94" s="37"/>
      <c r="Z94" s="37"/>
      <c r="AA94" s="37" t="n">
        <v>1</v>
      </c>
      <c r="AB94" s="37"/>
      <c r="AC94" s="37"/>
      <c r="AD94" s="37"/>
      <c r="AE94" s="37"/>
      <c r="AF94" s="37" t="s">
        <v>647</v>
      </c>
      <c r="AG94" s="62" t="s">
        <v>446</v>
      </c>
      <c r="AH94" s="63" t="s">
        <v>461</v>
      </c>
      <c r="AI94" s="62"/>
      <c r="AJ94" s="37" t="s">
        <v>607</v>
      </c>
      <c r="AK94" s="37" t="n">
        <f aca="false">SUM(Table1[[#This Row],[reported_1302]:[reported_1286_iso]])</f>
        <v>99.97</v>
      </c>
      <c r="AL94" s="64" t="n">
        <v>9.69</v>
      </c>
      <c r="AM94" s="64" t="n">
        <v>6.24</v>
      </c>
      <c r="AN94" s="64" t="n">
        <v>27</v>
      </c>
      <c r="AO94" s="64" t="n">
        <v>3.14</v>
      </c>
      <c r="AP94" s="64" t="n">
        <v>53.53</v>
      </c>
      <c r="AQ94" s="64" t="n">
        <v>0.37</v>
      </c>
      <c r="AR94" s="64"/>
      <c r="AS94" s="64"/>
      <c r="AT94" s="64"/>
      <c r="AU94" s="64"/>
      <c r="AV94" s="64"/>
      <c r="AW94" s="64"/>
      <c r="AX94" s="64"/>
      <c r="AY94" s="64"/>
      <c r="AZ94" s="64"/>
      <c r="BA94" s="64" t="n">
        <f aca="false">AL94/SUM($AL94:$AQ94)</f>
        <v>0.0969290787236171</v>
      </c>
      <c r="BB94" s="64" t="n">
        <f aca="false">AM94/SUM($AL94:$AQ94)</f>
        <v>0.0624187256176853</v>
      </c>
      <c r="BC94" s="64" t="n">
        <f aca="false">AN94/SUM($AL94:$AQ94)</f>
        <v>0.270081024307292</v>
      </c>
      <c r="BD94" s="64" t="n">
        <f aca="false">AO94/SUM($AL94:$AQ94)</f>
        <v>0.0314094228268481</v>
      </c>
      <c r="BE94" s="64" t="n">
        <f aca="false">AP94/SUM($AL94:$AQ94)</f>
        <v>0.535460638191458</v>
      </c>
      <c r="BF94" s="64" t="n">
        <f aca="false">AQ94/SUM($AL94:$AQ94)</f>
        <v>0.00370111033309993</v>
      </c>
      <c r="BG94" s="65" t="e">
        <f aca="false">#N/A</f>
        <v>#N/A</v>
      </c>
      <c r="BH94" s="37" t="s">
        <v>393</v>
      </c>
      <c r="BI94" s="37" t="s">
        <v>463</v>
      </c>
      <c r="BJ94" s="37" t="s">
        <v>608</v>
      </c>
      <c r="BK94" s="40" t="s">
        <v>4</v>
      </c>
      <c r="BL94" s="37" t="s">
        <v>4</v>
      </c>
      <c r="BM94" s="37" t="s">
        <v>397</v>
      </c>
      <c r="BN94" s="37" t="s">
        <v>397</v>
      </c>
      <c r="BO94" s="37" t="s">
        <v>595</v>
      </c>
      <c r="BP94" s="37" t="s">
        <v>397</v>
      </c>
      <c r="BQ94" s="37" t="s">
        <v>397</v>
      </c>
      <c r="BR94" s="37" t="s">
        <v>405</v>
      </c>
      <c r="BS94" s="37" t="s">
        <v>405</v>
      </c>
      <c r="BT94" s="37" t="s">
        <v>67</v>
      </c>
      <c r="BU94" s="37" t="s">
        <v>609</v>
      </c>
      <c r="BV94" s="37" t="s">
        <v>68</v>
      </c>
      <c r="BW94" s="37" t="s">
        <v>402</v>
      </c>
    </row>
    <row r="95" customFormat="false" ht="14.9" hidden="false" customHeight="false" outlineLevel="0" collapsed="false">
      <c r="A95" s="37" t="s">
        <v>658</v>
      </c>
      <c r="B95" s="62" t="s">
        <v>87</v>
      </c>
      <c r="C95" s="37" t="s">
        <v>86</v>
      </c>
      <c r="D95" s="37" t="n">
        <f aca="false">INDEX(Strain_IDs!C:C,MATCH(Table1[[#This Row],[Strains]],Strain_IDs!D:D,0))</f>
        <v>4</v>
      </c>
      <c r="E95" s="37" t="s">
        <v>382</v>
      </c>
      <c r="F95" s="37" t="s">
        <v>20</v>
      </c>
      <c r="G95" s="37" t="s">
        <v>21</v>
      </c>
      <c r="H95" s="37" t="s">
        <v>27</v>
      </c>
      <c r="I95" s="37" t="s">
        <v>455</v>
      </c>
      <c r="J95" s="37" t="s">
        <v>642</v>
      </c>
      <c r="K95" s="37" t="s">
        <v>384</v>
      </c>
      <c r="L95" s="37" t="s">
        <v>20</v>
      </c>
      <c r="M95" s="37" t="s">
        <v>385</v>
      </c>
      <c r="N95" s="37" t="s">
        <v>27</v>
      </c>
      <c r="O95" s="40" t="s">
        <v>455</v>
      </c>
      <c r="P95" s="40" t="s">
        <v>642</v>
      </c>
      <c r="Q95" s="37" t="s">
        <v>456</v>
      </c>
      <c r="R95" s="37" t="s">
        <v>62</v>
      </c>
      <c r="S95" s="37" t="s">
        <v>63</v>
      </c>
      <c r="T95" s="37" t="s">
        <v>387</v>
      </c>
      <c r="U95" s="37" t="s">
        <v>643</v>
      </c>
      <c r="V95" s="37" t="s">
        <v>134</v>
      </c>
      <c r="W95" s="37" t="s">
        <v>659</v>
      </c>
      <c r="X95" s="37" t="n">
        <v>26</v>
      </c>
      <c r="Y95" s="37"/>
      <c r="Z95" s="37"/>
      <c r="AA95" s="37" t="n">
        <v>2</v>
      </c>
      <c r="AB95" s="37"/>
      <c r="AC95" s="37"/>
      <c r="AD95" s="37"/>
      <c r="AE95" s="37"/>
      <c r="AF95" s="37" t="s">
        <v>647</v>
      </c>
      <c r="AG95" s="62" t="s">
        <v>446</v>
      </c>
      <c r="AH95" s="63" t="s">
        <v>461</v>
      </c>
      <c r="AI95" s="62"/>
      <c r="AJ95" s="37" t="s">
        <v>607</v>
      </c>
      <c r="AK95" s="37" t="n">
        <f aca="false">SUM(Table1[[#This Row],[reported_1302]:[reported_1286_iso]])</f>
        <v>99.95</v>
      </c>
      <c r="AL95" s="64" t="n">
        <v>9.44</v>
      </c>
      <c r="AM95" s="64" t="n">
        <v>7.31</v>
      </c>
      <c r="AN95" s="64" t="n">
        <v>25.58</v>
      </c>
      <c r="AO95" s="64" t="n">
        <v>3.48</v>
      </c>
      <c r="AP95" s="64" t="n">
        <v>53.78</v>
      </c>
      <c r="AQ95" s="64" t="n">
        <v>0.36</v>
      </c>
      <c r="AR95" s="64"/>
      <c r="AS95" s="64"/>
      <c r="AT95" s="64"/>
      <c r="AU95" s="64"/>
      <c r="AV95" s="64"/>
      <c r="AW95" s="64"/>
      <c r="AX95" s="64"/>
      <c r="AY95" s="64"/>
      <c r="AZ95" s="64"/>
      <c r="BA95" s="64" t="n">
        <f aca="false">AL95/SUM($AL95:$AQ95)</f>
        <v>0.0944472236118059</v>
      </c>
      <c r="BB95" s="64" t="n">
        <f aca="false">AM95/SUM($AL95:$AQ95)</f>
        <v>0.0731365682841421</v>
      </c>
      <c r="BC95" s="64" t="n">
        <f aca="false">AN95/SUM($AL95:$AQ95)</f>
        <v>0.255927963981991</v>
      </c>
      <c r="BD95" s="64" t="n">
        <f aca="false">AO95/SUM($AL95:$AQ95)</f>
        <v>0.0348174087043522</v>
      </c>
      <c r="BE95" s="64" t="n">
        <f aca="false">AP95/SUM($AL95:$AQ95)</f>
        <v>0.538069034517259</v>
      </c>
      <c r="BF95" s="64" t="n">
        <f aca="false">AQ95/SUM($AL95:$AQ95)</f>
        <v>0.00360180090045023</v>
      </c>
      <c r="BG95" s="65" t="e">
        <f aca="false">#N/A</f>
        <v>#N/A</v>
      </c>
      <c r="BH95" s="37" t="s">
        <v>393</v>
      </c>
      <c r="BI95" s="37" t="s">
        <v>463</v>
      </c>
      <c r="BJ95" s="37" t="s">
        <v>608</v>
      </c>
      <c r="BK95" s="40" t="s">
        <v>4</v>
      </c>
      <c r="BL95" s="37" t="s">
        <v>4</v>
      </c>
      <c r="BM95" s="37" t="s">
        <v>397</v>
      </c>
      <c r="BN95" s="37" t="s">
        <v>397</v>
      </c>
      <c r="BO95" s="37" t="s">
        <v>595</v>
      </c>
      <c r="BP95" s="37" t="s">
        <v>397</v>
      </c>
      <c r="BQ95" s="37" t="s">
        <v>397</v>
      </c>
      <c r="BR95" s="37" t="s">
        <v>405</v>
      </c>
      <c r="BS95" s="37" t="s">
        <v>405</v>
      </c>
      <c r="BT95" s="37" t="s">
        <v>67</v>
      </c>
      <c r="BU95" s="37" t="s">
        <v>609</v>
      </c>
      <c r="BV95" s="37" t="s">
        <v>68</v>
      </c>
      <c r="BW95" s="37" t="s">
        <v>402</v>
      </c>
    </row>
    <row r="96" customFormat="false" ht="14.9" hidden="false" customHeight="false" outlineLevel="0" collapsed="false">
      <c r="A96" s="37" t="s">
        <v>660</v>
      </c>
      <c r="B96" s="62" t="s">
        <v>87</v>
      </c>
      <c r="C96" s="37" t="s">
        <v>86</v>
      </c>
      <c r="D96" s="37" t="n">
        <f aca="false">INDEX(Strain_IDs!C:C,MATCH(Table1[[#This Row],[Strains]],Strain_IDs!D:D,0))</f>
        <v>4</v>
      </c>
      <c r="E96" s="37" t="s">
        <v>382</v>
      </c>
      <c r="F96" s="37" t="s">
        <v>20</v>
      </c>
      <c r="G96" s="37" t="s">
        <v>21</v>
      </c>
      <c r="H96" s="37" t="s">
        <v>27</v>
      </c>
      <c r="I96" s="37" t="s">
        <v>455</v>
      </c>
      <c r="J96" s="37" t="s">
        <v>642</v>
      </c>
      <c r="K96" s="37" t="s">
        <v>384</v>
      </c>
      <c r="L96" s="37" t="s">
        <v>20</v>
      </c>
      <c r="M96" s="37" t="s">
        <v>385</v>
      </c>
      <c r="N96" s="37" t="s">
        <v>27</v>
      </c>
      <c r="O96" s="40" t="s">
        <v>455</v>
      </c>
      <c r="P96" s="40" t="s">
        <v>642</v>
      </c>
      <c r="Q96" s="37" t="s">
        <v>456</v>
      </c>
      <c r="R96" s="37" t="s">
        <v>62</v>
      </c>
      <c r="S96" s="37" t="s">
        <v>63</v>
      </c>
      <c r="T96" s="37" t="s">
        <v>387</v>
      </c>
      <c r="U96" s="37" t="s">
        <v>643</v>
      </c>
      <c r="V96" s="37" t="s">
        <v>134</v>
      </c>
      <c r="W96" s="37" t="s">
        <v>661</v>
      </c>
      <c r="X96" s="37" t="n">
        <v>26</v>
      </c>
      <c r="Y96" s="37"/>
      <c r="Z96" s="37"/>
      <c r="AA96" s="37" t="n">
        <v>5</v>
      </c>
      <c r="AB96" s="37"/>
      <c r="AC96" s="37"/>
      <c r="AD96" s="37"/>
      <c r="AE96" s="37"/>
      <c r="AF96" s="37" t="s">
        <v>647</v>
      </c>
      <c r="AG96" s="62" t="s">
        <v>446</v>
      </c>
      <c r="AH96" s="63" t="s">
        <v>461</v>
      </c>
      <c r="AI96" s="62"/>
      <c r="AJ96" s="37" t="s">
        <v>607</v>
      </c>
      <c r="AK96" s="37" t="n">
        <f aca="false">SUM(Table1[[#This Row],[reported_1302]:[reported_1286_iso]])</f>
        <v>99.96</v>
      </c>
      <c r="AL96" s="64" t="n">
        <v>9.5</v>
      </c>
      <c r="AM96" s="64" t="n">
        <v>7.9</v>
      </c>
      <c r="AN96" s="64" t="n">
        <v>18.37</v>
      </c>
      <c r="AO96" s="64" t="n">
        <v>3.06</v>
      </c>
      <c r="AP96" s="64" t="n">
        <v>60.49</v>
      </c>
      <c r="AQ96" s="64" t="n">
        <v>0.64</v>
      </c>
      <c r="AR96" s="64"/>
      <c r="AS96" s="64"/>
      <c r="AT96" s="64"/>
      <c r="AU96" s="64"/>
      <c r="AV96" s="64"/>
      <c r="AW96" s="64"/>
      <c r="AX96" s="64"/>
      <c r="AY96" s="64"/>
      <c r="AZ96" s="64"/>
      <c r="BA96" s="64" t="n">
        <f aca="false">AL96/SUM($AL96:$AQ96)</f>
        <v>0.0950380152060824</v>
      </c>
      <c r="BB96" s="64" t="n">
        <f aca="false">AM96/SUM($AL96:$AQ96)</f>
        <v>0.079031612645058</v>
      </c>
      <c r="BC96" s="64" t="n">
        <f aca="false">AN96/SUM($AL96:$AQ96)</f>
        <v>0.183773509403762</v>
      </c>
      <c r="BD96" s="64" t="n">
        <f aca="false">AO96/SUM($AL96:$AQ96)</f>
        <v>0.0306122448979592</v>
      </c>
      <c r="BE96" s="64" t="n">
        <f aca="false">AP96/SUM($AL96:$AQ96)</f>
        <v>0.605142056822729</v>
      </c>
      <c r="BF96" s="64" t="n">
        <f aca="false">AQ96/SUM($AL96:$AQ96)</f>
        <v>0.00640256102440976</v>
      </c>
      <c r="BG96" s="65" t="e">
        <f aca="false">#N/A</f>
        <v>#N/A</v>
      </c>
      <c r="BH96" s="37" t="s">
        <v>393</v>
      </c>
      <c r="BI96" s="37" t="s">
        <v>463</v>
      </c>
      <c r="BJ96" s="37" t="s">
        <v>608</v>
      </c>
      <c r="BK96" s="40" t="s">
        <v>4</v>
      </c>
      <c r="BL96" s="37" t="s">
        <v>4</v>
      </c>
      <c r="BM96" s="37" t="s">
        <v>397</v>
      </c>
      <c r="BN96" s="37" t="s">
        <v>397</v>
      </c>
      <c r="BO96" s="37" t="s">
        <v>595</v>
      </c>
      <c r="BP96" s="37" t="s">
        <v>397</v>
      </c>
      <c r="BQ96" s="37" t="s">
        <v>397</v>
      </c>
      <c r="BR96" s="37" t="s">
        <v>405</v>
      </c>
      <c r="BS96" s="37" t="s">
        <v>405</v>
      </c>
      <c r="BT96" s="37" t="s">
        <v>67</v>
      </c>
      <c r="BU96" s="37" t="s">
        <v>609</v>
      </c>
      <c r="BV96" s="37" t="s">
        <v>68</v>
      </c>
      <c r="BW96" s="37" t="s">
        <v>402</v>
      </c>
    </row>
    <row r="97" customFormat="false" ht="14.9" hidden="false" customHeight="false" outlineLevel="0" collapsed="false">
      <c r="A97" s="37" t="s">
        <v>662</v>
      </c>
      <c r="B97" s="62" t="s">
        <v>87</v>
      </c>
      <c r="C97" s="37" t="s">
        <v>86</v>
      </c>
      <c r="D97" s="37" t="n">
        <f aca="false">INDEX(Strain_IDs!C:C,MATCH(Table1[[#This Row],[Strains]],Strain_IDs!D:D,0))</f>
        <v>4</v>
      </c>
      <c r="E97" s="37" t="s">
        <v>382</v>
      </c>
      <c r="F97" s="37" t="s">
        <v>20</v>
      </c>
      <c r="G97" s="37" t="s">
        <v>21</v>
      </c>
      <c r="H97" s="37" t="s">
        <v>27</v>
      </c>
      <c r="I97" s="37" t="s">
        <v>455</v>
      </c>
      <c r="J97" s="37" t="s">
        <v>642</v>
      </c>
      <c r="K97" s="37" t="s">
        <v>384</v>
      </c>
      <c r="L97" s="37" t="s">
        <v>20</v>
      </c>
      <c r="M97" s="37" t="s">
        <v>385</v>
      </c>
      <c r="N97" s="37" t="s">
        <v>27</v>
      </c>
      <c r="O97" s="40" t="s">
        <v>455</v>
      </c>
      <c r="P97" s="40" t="s">
        <v>642</v>
      </c>
      <c r="Q97" s="37" t="s">
        <v>456</v>
      </c>
      <c r="R97" s="37" t="s">
        <v>62</v>
      </c>
      <c r="S97" s="37" t="s">
        <v>63</v>
      </c>
      <c r="T97" s="37" t="s">
        <v>387</v>
      </c>
      <c r="U97" s="37" t="s">
        <v>643</v>
      </c>
      <c r="V97" s="37" t="s">
        <v>134</v>
      </c>
      <c r="W97" s="37" t="s">
        <v>663</v>
      </c>
      <c r="X97" s="37" t="n">
        <v>26</v>
      </c>
      <c r="Y97" s="37"/>
      <c r="Z97" s="37"/>
      <c r="AA97" s="37" t="n">
        <v>11</v>
      </c>
      <c r="AB97" s="37"/>
      <c r="AC97" s="37"/>
      <c r="AD97" s="37"/>
      <c r="AE97" s="37"/>
      <c r="AF97" s="37" t="s">
        <v>647</v>
      </c>
      <c r="AG97" s="62" t="s">
        <v>446</v>
      </c>
      <c r="AH97" s="63" t="s">
        <v>461</v>
      </c>
      <c r="AI97" s="62"/>
      <c r="AJ97" s="37" t="s">
        <v>607</v>
      </c>
      <c r="AK97" s="37" t="n">
        <f aca="false">SUM(Table1[[#This Row],[reported_1302]:[reported_1286_iso]])</f>
        <v>99.96</v>
      </c>
      <c r="AL97" s="64" t="n">
        <v>11.57</v>
      </c>
      <c r="AM97" s="64" t="n">
        <v>9</v>
      </c>
      <c r="AN97" s="64" t="n">
        <v>15.82</v>
      </c>
      <c r="AO97" s="64" t="n">
        <v>2.69</v>
      </c>
      <c r="AP97" s="64" t="n">
        <v>60.33</v>
      </c>
      <c r="AQ97" s="64" t="n">
        <v>0.55</v>
      </c>
      <c r="AR97" s="64"/>
      <c r="AS97" s="64"/>
      <c r="AT97" s="64"/>
      <c r="AU97" s="64"/>
      <c r="AV97" s="64"/>
      <c r="AW97" s="64"/>
      <c r="AX97" s="64"/>
      <c r="AY97" s="64"/>
      <c r="AZ97" s="64"/>
      <c r="BA97" s="64" t="n">
        <f aca="false">AL97/SUM($AL97:$AQ97)</f>
        <v>0.115746298519408</v>
      </c>
      <c r="BB97" s="64" t="n">
        <f aca="false">AM97/SUM($AL97:$AQ97)</f>
        <v>0.0900360144057623</v>
      </c>
      <c r="BC97" s="64" t="n">
        <f aca="false">AN97/SUM($AL97:$AQ97)</f>
        <v>0.158263305322129</v>
      </c>
      <c r="BD97" s="64" t="n">
        <f aca="false">AO97/SUM($AL97:$AQ97)</f>
        <v>0.0269107643057223</v>
      </c>
      <c r="BE97" s="64" t="n">
        <f aca="false">AP97/SUM($AL97:$AQ97)</f>
        <v>0.603541416566627</v>
      </c>
      <c r="BF97" s="64" t="n">
        <f aca="false">AQ97/SUM($AL97:$AQ97)</f>
        <v>0.00550220088035214</v>
      </c>
      <c r="BG97" s="65" t="e">
        <f aca="false">#N/A</f>
        <v>#N/A</v>
      </c>
      <c r="BH97" s="37" t="s">
        <v>393</v>
      </c>
      <c r="BI97" s="37" t="s">
        <v>463</v>
      </c>
      <c r="BJ97" s="37" t="s">
        <v>608</v>
      </c>
      <c r="BK97" s="40" t="s">
        <v>4</v>
      </c>
      <c r="BL97" s="37" t="s">
        <v>4</v>
      </c>
      <c r="BM97" s="37" t="s">
        <v>397</v>
      </c>
      <c r="BN97" s="37" t="s">
        <v>397</v>
      </c>
      <c r="BO97" s="37" t="s">
        <v>595</v>
      </c>
      <c r="BP97" s="37" t="s">
        <v>397</v>
      </c>
      <c r="BQ97" s="37" t="s">
        <v>397</v>
      </c>
      <c r="BR97" s="37" t="s">
        <v>405</v>
      </c>
      <c r="BS97" s="37" t="s">
        <v>405</v>
      </c>
      <c r="BT97" s="37" t="s">
        <v>67</v>
      </c>
      <c r="BU97" s="37" t="s">
        <v>609</v>
      </c>
      <c r="BV97" s="37" t="s">
        <v>68</v>
      </c>
      <c r="BW97" s="37" t="s">
        <v>402</v>
      </c>
    </row>
    <row r="98" customFormat="false" ht="14.9" hidden="false" customHeight="false" outlineLevel="0" collapsed="false">
      <c r="A98" s="37" t="s">
        <v>664</v>
      </c>
      <c r="B98" s="62" t="s">
        <v>87</v>
      </c>
      <c r="C98" s="37" t="s">
        <v>86</v>
      </c>
      <c r="D98" s="37" t="n">
        <f aca="false">INDEX(Strain_IDs!C:C,MATCH(Table1[[#This Row],[Strains]],Strain_IDs!D:D,0))</f>
        <v>4</v>
      </c>
      <c r="E98" s="37" t="s">
        <v>382</v>
      </c>
      <c r="F98" s="37" t="s">
        <v>20</v>
      </c>
      <c r="G98" s="37" t="s">
        <v>21</v>
      </c>
      <c r="H98" s="37" t="s">
        <v>27</v>
      </c>
      <c r="I98" s="37" t="s">
        <v>455</v>
      </c>
      <c r="J98" s="37" t="s">
        <v>642</v>
      </c>
      <c r="K98" s="37" t="s">
        <v>384</v>
      </c>
      <c r="L98" s="37" t="s">
        <v>20</v>
      </c>
      <c r="M98" s="37" t="s">
        <v>385</v>
      </c>
      <c r="N98" s="37" t="s">
        <v>27</v>
      </c>
      <c r="O98" s="40" t="s">
        <v>455</v>
      </c>
      <c r="P98" s="40" t="s">
        <v>642</v>
      </c>
      <c r="Q98" s="37" t="s">
        <v>456</v>
      </c>
      <c r="R98" s="37" t="s">
        <v>62</v>
      </c>
      <c r="S98" s="37" t="s">
        <v>63</v>
      </c>
      <c r="T98" s="37" t="s">
        <v>387</v>
      </c>
      <c r="U98" s="37" t="s">
        <v>643</v>
      </c>
      <c r="V98" s="37" t="s">
        <v>134</v>
      </c>
      <c r="W98" s="37" t="s">
        <v>665</v>
      </c>
      <c r="X98" s="37" t="n">
        <v>26</v>
      </c>
      <c r="Y98" s="37"/>
      <c r="Z98" s="37"/>
      <c r="AA98" s="37" t="n">
        <v>53</v>
      </c>
      <c r="AB98" s="37"/>
      <c r="AC98" s="37"/>
      <c r="AD98" s="37"/>
      <c r="AE98" s="37"/>
      <c r="AF98" s="37" t="s">
        <v>647</v>
      </c>
      <c r="AG98" s="62" t="s">
        <v>446</v>
      </c>
      <c r="AH98" s="63" t="s">
        <v>461</v>
      </c>
      <c r="AI98" s="62"/>
      <c r="AJ98" s="37" t="s">
        <v>607</v>
      </c>
      <c r="AK98" s="37" t="n">
        <f aca="false">SUM(Table1[[#This Row],[reported_1302]:[reported_1286_iso]])</f>
        <v>99.94</v>
      </c>
      <c r="AL98" s="64" t="n">
        <v>14.84</v>
      </c>
      <c r="AM98" s="64" t="n">
        <v>10.45</v>
      </c>
      <c r="AN98" s="64" t="n">
        <v>12.62</v>
      </c>
      <c r="AO98" s="64" t="n">
        <v>2.26</v>
      </c>
      <c r="AP98" s="64" t="n">
        <v>59.34</v>
      </c>
      <c r="AQ98" s="64" t="n">
        <v>0.43</v>
      </c>
      <c r="AR98" s="64"/>
      <c r="AS98" s="64"/>
      <c r="AT98" s="64"/>
      <c r="AU98" s="64"/>
      <c r="AV98" s="64"/>
      <c r="AW98" s="64"/>
      <c r="AX98" s="64"/>
      <c r="AY98" s="64"/>
      <c r="AZ98" s="64"/>
      <c r="BA98" s="64" t="n">
        <f aca="false">AL98/SUM($AL98:$AQ98)</f>
        <v>0.148489093456074</v>
      </c>
      <c r="BB98" s="64" t="n">
        <f aca="false">AM98/SUM($AL98:$AQ98)</f>
        <v>0.104562737642586</v>
      </c>
      <c r="BC98" s="64" t="n">
        <f aca="false">AN98/SUM($AL98:$AQ98)</f>
        <v>0.126275765459276</v>
      </c>
      <c r="BD98" s="64" t="n">
        <f aca="false">AO98/SUM($AL98:$AQ98)</f>
        <v>0.0226135681408845</v>
      </c>
      <c r="BE98" s="64" t="n">
        <f aca="false">AP98/SUM($AL98:$AQ98)</f>
        <v>0.593756253752251</v>
      </c>
      <c r="BF98" s="64" t="n">
        <f aca="false">AQ98/SUM($AL98:$AQ98)</f>
        <v>0.00430258154892936</v>
      </c>
      <c r="BG98" s="65" t="e">
        <f aca="false">#N/A</f>
        <v>#N/A</v>
      </c>
      <c r="BH98" s="37" t="s">
        <v>393</v>
      </c>
      <c r="BI98" s="37" t="s">
        <v>463</v>
      </c>
      <c r="BJ98" s="37" t="s">
        <v>608</v>
      </c>
      <c r="BK98" s="40" t="s">
        <v>4</v>
      </c>
      <c r="BL98" s="37" t="s">
        <v>4</v>
      </c>
      <c r="BM98" s="37" t="s">
        <v>397</v>
      </c>
      <c r="BN98" s="37" t="s">
        <v>397</v>
      </c>
      <c r="BO98" s="37" t="s">
        <v>595</v>
      </c>
      <c r="BP98" s="37" t="s">
        <v>397</v>
      </c>
      <c r="BQ98" s="37" t="s">
        <v>397</v>
      </c>
      <c r="BR98" s="37" t="s">
        <v>405</v>
      </c>
      <c r="BS98" s="37" t="s">
        <v>405</v>
      </c>
      <c r="BT98" s="37" t="s">
        <v>67</v>
      </c>
      <c r="BU98" s="37" t="s">
        <v>609</v>
      </c>
      <c r="BV98" s="37" t="s">
        <v>68</v>
      </c>
      <c r="BW98" s="37" t="s">
        <v>402</v>
      </c>
    </row>
    <row r="99" customFormat="false" ht="14.9" hidden="false" customHeight="false" outlineLevel="0" collapsed="false">
      <c r="A99" s="37" t="s">
        <v>666</v>
      </c>
      <c r="B99" s="62" t="s">
        <v>87</v>
      </c>
      <c r="C99" s="37" t="s">
        <v>86</v>
      </c>
      <c r="D99" s="37" t="n">
        <f aca="false">INDEX(Strain_IDs!C:C,MATCH(Table1[[#This Row],[Strains]],Strain_IDs!D:D,0))</f>
        <v>4</v>
      </c>
      <c r="E99" s="37" t="s">
        <v>382</v>
      </c>
      <c r="F99" s="37" t="s">
        <v>20</v>
      </c>
      <c r="G99" s="37" t="s">
        <v>21</v>
      </c>
      <c r="H99" s="37" t="s">
        <v>27</v>
      </c>
      <c r="I99" s="37" t="s">
        <v>455</v>
      </c>
      <c r="J99" s="37" t="s">
        <v>642</v>
      </c>
      <c r="K99" s="37" t="s">
        <v>384</v>
      </c>
      <c r="L99" s="37" t="s">
        <v>20</v>
      </c>
      <c r="M99" s="37" t="s">
        <v>385</v>
      </c>
      <c r="N99" s="37" t="s">
        <v>27</v>
      </c>
      <c r="O99" s="40" t="s">
        <v>455</v>
      </c>
      <c r="P99" s="40" t="s">
        <v>642</v>
      </c>
      <c r="Q99" s="37" t="s">
        <v>456</v>
      </c>
      <c r="R99" s="37" t="s">
        <v>62</v>
      </c>
      <c r="S99" s="37" t="s">
        <v>63</v>
      </c>
      <c r="T99" s="37" t="s">
        <v>387</v>
      </c>
      <c r="U99" s="37" t="s">
        <v>643</v>
      </c>
      <c r="V99" s="37" t="s">
        <v>134</v>
      </c>
      <c r="W99" s="37" t="s">
        <v>667</v>
      </c>
      <c r="X99" s="37" t="n">
        <v>26</v>
      </c>
      <c r="Y99" s="37"/>
      <c r="Z99" s="37"/>
      <c r="AA99" s="37" t="n">
        <v>106</v>
      </c>
      <c r="AB99" s="37"/>
      <c r="AC99" s="37"/>
      <c r="AD99" s="37"/>
      <c r="AE99" s="37"/>
      <c r="AF99" s="37" t="s">
        <v>647</v>
      </c>
      <c r="AG99" s="62" t="s">
        <v>446</v>
      </c>
      <c r="AH99" s="63" t="s">
        <v>461</v>
      </c>
      <c r="AI99" s="62"/>
      <c r="AJ99" s="37" t="s">
        <v>607</v>
      </c>
      <c r="AK99" s="37" t="n">
        <f aca="false">SUM(Table1[[#This Row],[reported_1302]:[reported_1286_iso]])</f>
        <v>99.91</v>
      </c>
      <c r="AL99" s="64" t="n">
        <v>16.49</v>
      </c>
      <c r="AM99" s="64" t="n">
        <v>11.3</v>
      </c>
      <c r="AN99" s="64" t="n">
        <v>10.81</v>
      </c>
      <c r="AO99" s="64" t="n">
        <v>2.22</v>
      </c>
      <c r="AP99" s="64" t="n">
        <v>58.7</v>
      </c>
      <c r="AQ99" s="64" t="n">
        <v>0.39</v>
      </c>
      <c r="AR99" s="64"/>
      <c r="AS99" s="64"/>
      <c r="AT99" s="64"/>
      <c r="AU99" s="64"/>
      <c r="AV99" s="64"/>
      <c r="AW99" s="64"/>
      <c r="AX99" s="64"/>
      <c r="AY99" s="64"/>
      <c r="AZ99" s="64"/>
      <c r="BA99" s="64" t="n">
        <f aca="false">AL99/SUM($AL99:$AQ99)</f>
        <v>0.16504854368932</v>
      </c>
      <c r="BB99" s="64" t="n">
        <f aca="false">AM99/SUM($AL99:$AQ99)</f>
        <v>0.113101791612451</v>
      </c>
      <c r="BC99" s="64" t="n">
        <f aca="false">AN99/SUM($AL99:$AQ99)</f>
        <v>0.108197377639876</v>
      </c>
      <c r="BD99" s="64" t="n">
        <f aca="false">AO99/SUM($AL99:$AQ99)</f>
        <v>0.0222199979981984</v>
      </c>
      <c r="BE99" s="64" t="n">
        <f aca="false">AP99/SUM($AL99:$AQ99)</f>
        <v>0.587528775898309</v>
      </c>
      <c r="BF99" s="64" t="n">
        <f aca="false">AQ99/SUM($AL99:$AQ99)</f>
        <v>0.00390351316184566</v>
      </c>
      <c r="BG99" s="65" t="e">
        <f aca="false">#N/A</f>
        <v>#N/A</v>
      </c>
      <c r="BH99" s="37" t="s">
        <v>393</v>
      </c>
      <c r="BI99" s="37" t="s">
        <v>463</v>
      </c>
      <c r="BJ99" s="37" t="s">
        <v>608</v>
      </c>
      <c r="BK99" s="40" t="s">
        <v>4</v>
      </c>
      <c r="BL99" s="37" t="s">
        <v>4</v>
      </c>
      <c r="BM99" s="37" t="s">
        <v>397</v>
      </c>
      <c r="BN99" s="37" t="s">
        <v>397</v>
      </c>
      <c r="BO99" s="37" t="s">
        <v>595</v>
      </c>
      <c r="BP99" s="37" t="s">
        <v>397</v>
      </c>
      <c r="BQ99" s="37" t="s">
        <v>397</v>
      </c>
      <c r="BR99" s="37" t="s">
        <v>405</v>
      </c>
      <c r="BS99" s="37" t="s">
        <v>405</v>
      </c>
      <c r="BT99" s="37" t="s">
        <v>67</v>
      </c>
      <c r="BU99" s="37" t="s">
        <v>609</v>
      </c>
      <c r="BV99" s="37" t="s">
        <v>68</v>
      </c>
      <c r="BW99" s="37" t="s">
        <v>402</v>
      </c>
    </row>
    <row r="100" customFormat="false" ht="14.9" hidden="false" customHeight="false" outlineLevel="0" collapsed="false">
      <c r="A100" s="37" t="s">
        <v>668</v>
      </c>
      <c r="B100" s="62" t="s">
        <v>87</v>
      </c>
      <c r="C100" s="37" t="s">
        <v>86</v>
      </c>
      <c r="D100" s="37" t="n">
        <f aca="false">INDEX(Strain_IDs!C:C,MATCH(Table1[[#This Row],[Strains]],Strain_IDs!D:D,0))</f>
        <v>4</v>
      </c>
      <c r="E100" s="37" t="s">
        <v>382</v>
      </c>
      <c r="F100" s="37" t="s">
        <v>20</v>
      </c>
      <c r="G100" s="37" t="s">
        <v>21</v>
      </c>
      <c r="H100" s="37" t="s">
        <v>27</v>
      </c>
      <c r="I100" s="37" t="s">
        <v>455</v>
      </c>
      <c r="J100" s="37" t="s">
        <v>642</v>
      </c>
      <c r="K100" s="37" t="s">
        <v>384</v>
      </c>
      <c r="L100" s="37" t="s">
        <v>20</v>
      </c>
      <c r="M100" s="37" t="s">
        <v>385</v>
      </c>
      <c r="N100" s="37" t="s">
        <v>27</v>
      </c>
      <c r="O100" s="40" t="s">
        <v>455</v>
      </c>
      <c r="P100" s="40" t="s">
        <v>642</v>
      </c>
      <c r="Q100" s="37" t="s">
        <v>456</v>
      </c>
      <c r="R100" s="37" t="s">
        <v>62</v>
      </c>
      <c r="S100" s="37" t="s">
        <v>63</v>
      </c>
      <c r="T100" s="37" t="s">
        <v>387</v>
      </c>
      <c r="U100" s="37" t="s">
        <v>643</v>
      </c>
      <c r="V100" s="37" t="s">
        <v>134</v>
      </c>
      <c r="W100" s="37" t="s">
        <v>669</v>
      </c>
      <c r="X100" s="37" t="n">
        <v>26</v>
      </c>
      <c r="Y100" s="37"/>
      <c r="Z100" s="37"/>
      <c r="AA100" s="37" t="n">
        <v>213</v>
      </c>
      <c r="AB100" s="37"/>
      <c r="AC100" s="37"/>
      <c r="AD100" s="37"/>
      <c r="AE100" s="37"/>
      <c r="AF100" s="37" t="s">
        <v>647</v>
      </c>
      <c r="AG100" s="62" t="s">
        <v>446</v>
      </c>
      <c r="AH100" s="63" t="s">
        <v>461</v>
      </c>
      <c r="AI100" s="62"/>
      <c r="AJ100" s="37" t="s">
        <v>607</v>
      </c>
      <c r="AK100" s="37" t="n">
        <f aca="false">SUM(Table1[[#This Row],[reported_1302]:[reported_1286_iso]])</f>
        <v>99.92</v>
      </c>
      <c r="AL100" s="64" t="n">
        <v>19.58</v>
      </c>
      <c r="AM100" s="64" t="n">
        <v>11.89</v>
      </c>
      <c r="AN100" s="64" t="n">
        <v>7.69</v>
      </c>
      <c r="AO100" s="64" t="n">
        <v>1.94</v>
      </c>
      <c r="AP100" s="64" t="n">
        <v>58.53</v>
      </c>
      <c r="AQ100" s="64" t="n">
        <v>0.29</v>
      </c>
      <c r="AR100" s="64"/>
      <c r="AS100" s="64"/>
      <c r="AT100" s="64"/>
      <c r="AU100" s="64"/>
      <c r="AV100" s="64"/>
      <c r="AW100" s="64"/>
      <c r="AX100" s="64"/>
      <c r="AY100" s="64"/>
      <c r="AZ100" s="64"/>
      <c r="BA100" s="64" t="n">
        <f aca="false">AL100/SUM($AL100:$AQ100)</f>
        <v>0.19595676541233</v>
      </c>
      <c r="BB100" s="64" t="n">
        <f aca="false">AM100/SUM($AL100:$AQ100)</f>
        <v>0.118995196156926</v>
      </c>
      <c r="BC100" s="64" t="n">
        <f aca="false">AN100/SUM($AL100:$AQ100)</f>
        <v>0.0769615692554043</v>
      </c>
      <c r="BD100" s="64" t="n">
        <f aca="false">AO100/SUM($AL100:$AQ100)</f>
        <v>0.0194155324259408</v>
      </c>
      <c r="BE100" s="64" t="n">
        <f aca="false">AP100/SUM($AL100:$AQ100)</f>
        <v>0.585768614891914</v>
      </c>
      <c r="BF100" s="64" t="n">
        <f aca="false">AQ100/SUM($AL100:$AQ100)</f>
        <v>0.00290232185748599</v>
      </c>
      <c r="BG100" s="65" t="e">
        <f aca="false">#N/A</f>
        <v>#N/A</v>
      </c>
      <c r="BH100" s="37" t="s">
        <v>393</v>
      </c>
      <c r="BI100" s="37" t="s">
        <v>463</v>
      </c>
      <c r="BJ100" s="37" t="s">
        <v>608</v>
      </c>
      <c r="BK100" s="40" t="s">
        <v>4</v>
      </c>
      <c r="BL100" s="37" t="s">
        <v>4</v>
      </c>
      <c r="BM100" s="37" t="s">
        <v>397</v>
      </c>
      <c r="BN100" s="37" t="s">
        <v>397</v>
      </c>
      <c r="BO100" s="37" t="s">
        <v>595</v>
      </c>
      <c r="BP100" s="37" t="s">
        <v>397</v>
      </c>
      <c r="BQ100" s="37" t="s">
        <v>397</v>
      </c>
      <c r="BR100" s="37" t="s">
        <v>405</v>
      </c>
      <c r="BS100" s="37" t="s">
        <v>405</v>
      </c>
      <c r="BT100" s="37" t="s">
        <v>67</v>
      </c>
      <c r="BU100" s="37" t="s">
        <v>609</v>
      </c>
      <c r="BV100" s="37" t="s">
        <v>68</v>
      </c>
      <c r="BW100" s="37" t="s">
        <v>402</v>
      </c>
    </row>
    <row r="101" customFormat="false" ht="14.9" hidden="false" customHeight="false" outlineLevel="0" collapsed="false">
      <c r="A101" s="37" t="s">
        <v>670</v>
      </c>
      <c r="B101" s="62" t="s">
        <v>130</v>
      </c>
      <c r="C101" s="37" t="s">
        <v>129</v>
      </c>
      <c r="D101" s="37" t="n">
        <f aca="false">INDEX(Strain_IDs!C:C,MATCH(Table1[[#This Row],[Strains]],Strain_IDs!D:D,0))</f>
        <v>7</v>
      </c>
      <c r="E101" s="37" t="s">
        <v>382</v>
      </c>
      <c r="F101" s="37" t="s">
        <v>20</v>
      </c>
      <c r="G101" s="37" t="s">
        <v>21</v>
      </c>
      <c r="H101" s="37" t="s">
        <v>27</v>
      </c>
      <c r="I101" s="37" t="s">
        <v>455</v>
      </c>
      <c r="J101" s="37" t="s">
        <v>480</v>
      </c>
      <c r="K101" s="37" t="s">
        <v>384</v>
      </c>
      <c r="L101" s="37" t="s">
        <v>20</v>
      </c>
      <c r="M101" s="37" t="s">
        <v>385</v>
      </c>
      <c r="N101" s="37" t="s">
        <v>27</v>
      </c>
      <c r="O101" s="40" t="s">
        <v>455</v>
      </c>
      <c r="P101" s="40" t="s">
        <v>480</v>
      </c>
      <c r="Q101" s="37" t="s">
        <v>456</v>
      </c>
      <c r="R101" s="37" t="s">
        <v>62</v>
      </c>
      <c r="S101" s="37" t="s">
        <v>63</v>
      </c>
      <c r="T101" s="37" t="s">
        <v>387</v>
      </c>
      <c r="U101" s="37" t="s">
        <v>133</v>
      </c>
      <c r="V101" s="37" t="s">
        <v>134</v>
      </c>
      <c r="W101" s="37" t="s">
        <v>671</v>
      </c>
      <c r="X101" s="37" t="n">
        <v>28</v>
      </c>
      <c r="Y101" s="37"/>
      <c r="Z101" s="37" t="n">
        <v>7.6</v>
      </c>
      <c r="AA101" s="37"/>
      <c r="AB101" s="37"/>
      <c r="AC101" s="37"/>
      <c r="AD101" s="37" t="n">
        <v>31.2</v>
      </c>
      <c r="AE101" s="37" t="s">
        <v>672</v>
      </c>
      <c r="AF101" s="37" t="s">
        <v>673</v>
      </c>
      <c r="AG101" s="62" t="s">
        <v>446</v>
      </c>
      <c r="AH101" s="63" t="s">
        <v>447</v>
      </c>
      <c r="AI101" s="62" t="n">
        <v>0.1</v>
      </c>
      <c r="AJ101" s="37" t="s">
        <v>674</v>
      </c>
      <c r="AK101" s="37" t="n">
        <f aca="false">SUM(Table1[[#This Row],[reported_1302]:[reported_1286_iso]])</f>
        <v>1.000000001</v>
      </c>
      <c r="AL101" s="64" t="n">
        <v>0.094736842</v>
      </c>
      <c r="AM101" s="64" t="n">
        <v>0.073684211</v>
      </c>
      <c r="AN101" s="64" t="n">
        <v>0.210526316</v>
      </c>
      <c r="AO101" s="64" t="n">
        <v>0.073684211</v>
      </c>
      <c r="AP101" s="64" t="n">
        <v>0.536842105</v>
      </c>
      <c r="AQ101" s="64" t="n">
        <v>0.010526316</v>
      </c>
      <c r="AR101" s="64"/>
      <c r="AS101" s="64"/>
      <c r="AT101" s="64"/>
      <c r="AU101" s="64"/>
      <c r="AV101" s="64"/>
      <c r="AW101" s="64"/>
      <c r="AX101" s="64"/>
      <c r="AY101" s="64"/>
      <c r="AZ101" s="64"/>
      <c r="BA101" s="64" t="n">
        <f aca="false">AL101/SUM($AL101:$AQ101)</f>
        <v>0.0947368419052632</v>
      </c>
      <c r="BB101" s="64" t="n">
        <f aca="false">AM101/SUM($AL101:$AQ101)</f>
        <v>0.0736842109263158</v>
      </c>
      <c r="BC101" s="64" t="n">
        <f aca="false">AN101/SUM($AL101:$AQ101)</f>
        <v>0.210526315789474</v>
      </c>
      <c r="BD101" s="64" t="n">
        <f aca="false">AO101/SUM($AL101:$AQ101)</f>
        <v>0.0736842109263158</v>
      </c>
      <c r="BE101" s="64" t="n">
        <f aca="false">AP101/SUM($AL101:$AQ101)</f>
        <v>0.536842104463158</v>
      </c>
      <c r="BF101" s="64" t="n">
        <f aca="false">AQ101/SUM($AL101:$AQ101)</f>
        <v>0.0105263159894737</v>
      </c>
      <c r="BG101" s="65" t="e">
        <f aca="false">#N/A</f>
        <v>#N/A</v>
      </c>
      <c r="BH101" s="37" t="s">
        <v>393</v>
      </c>
      <c r="BI101" s="37" t="s">
        <v>463</v>
      </c>
      <c r="BJ101" s="37" t="s">
        <v>675</v>
      </c>
      <c r="BK101" s="40" t="s">
        <v>7</v>
      </c>
      <c r="BL101" s="37" t="s">
        <v>7</v>
      </c>
      <c r="BM101" s="37" t="s">
        <v>397</v>
      </c>
      <c r="BN101" s="37" t="s">
        <v>397</v>
      </c>
      <c r="BO101" s="37" t="s">
        <v>595</v>
      </c>
      <c r="BP101" s="37" t="s">
        <v>397</v>
      </c>
      <c r="BQ101" s="37" t="s">
        <v>397</v>
      </c>
      <c r="BR101" s="37"/>
      <c r="BS101" s="37"/>
      <c r="BT101" s="37" t="s">
        <v>676</v>
      </c>
      <c r="BU101" s="37" t="s">
        <v>677</v>
      </c>
      <c r="BV101" s="37" t="s">
        <v>678</v>
      </c>
      <c r="BW101" s="37" t="s">
        <v>402</v>
      </c>
    </row>
    <row r="102" customFormat="false" ht="14.9" hidden="false" customHeight="false" outlineLevel="0" collapsed="false">
      <c r="A102" s="37" t="s">
        <v>679</v>
      </c>
      <c r="B102" s="62" t="s">
        <v>130</v>
      </c>
      <c r="C102" s="37" t="s">
        <v>129</v>
      </c>
      <c r="D102" s="37" t="n">
        <f aca="false">INDEX(Strain_IDs!C:C,MATCH(Table1[[#This Row],[Strains]],Strain_IDs!D:D,0))</f>
        <v>7</v>
      </c>
      <c r="E102" s="37" t="s">
        <v>382</v>
      </c>
      <c r="F102" s="37" t="s">
        <v>20</v>
      </c>
      <c r="G102" s="37" t="s">
        <v>21</v>
      </c>
      <c r="H102" s="37" t="s">
        <v>27</v>
      </c>
      <c r="I102" s="37" t="s">
        <v>455</v>
      </c>
      <c r="J102" s="37" t="s">
        <v>480</v>
      </c>
      <c r="K102" s="37" t="s">
        <v>384</v>
      </c>
      <c r="L102" s="37" t="s">
        <v>20</v>
      </c>
      <c r="M102" s="37" t="s">
        <v>385</v>
      </c>
      <c r="N102" s="37" t="s">
        <v>27</v>
      </c>
      <c r="O102" s="40" t="s">
        <v>455</v>
      </c>
      <c r="P102" s="40" t="s">
        <v>480</v>
      </c>
      <c r="Q102" s="37" t="s">
        <v>456</v>
      </c>
      <c r="R102" s="37" t="s">
        <v>62</v>
      </c>
      <c r="S102" s="37" t="s">
        <v>63</v>
      </c>
      <c r="T102" s="37" t="s">
        <v>387</v>
      </c>
      <c r="U102" s="37" t="s">
        <v>133</v>
      </c>
      <c r="V102" s="37" t="s">
        <v>134</v>
      </c>
      <c r="W102" s="37" t="s">
        <v>680</v>
      </c>
      <c r="X102" s="37" t="n">
        <v>28</v>
      </c>
      <c r="Y102" s="37"/>
      <c r="Z102" s="37" t="n">
        <v>7.6</v>
      </c>
      <c r="AA102" s="37"/>
      <c r="AB102" s="37"/>
      <c r="AC102" s="37"/>
      <c r="AD102" s="37" t="n">
        <v>71.4</v>
      </c>
      <c r="AE102" s="37" t="s">
        <v>681</v>
      </c>
      <c r="AF102" s="37" t="s">
        <v>673</v>
      </c>
      <c r="AG102" s="62" t="s">
        <v>446</v>
      </c>
      <c r="AH102" s="63" t="s">
        <v>447</v>
      </c>
      <c r="AI102" s="62" t="n">
        <v>0.1</v>
      </c>
      <c r="AJ102" s="37" t="s">
        <v>674</v>
      </c>
      <c r="AK102" s="37" t="n">
        <f aca="false">SUM(Table1[[#This Row],[reported_1302]:[reported_1286_iso]])</f>
        <v>1</v>
      </c>
      <c r="AL102" s="64" t="n">
        <v>0.147368421</v>
      </c>
      <c r="AM102" s="64" t="n">
        <v>0.115789474</v>
      </c>
      <c r="AN102" s="64" t="n">
        <v>0.178947368</v>
      </c>
      <c r="AO102" s="64" t="n">
        <v>0.084210526</v>
      </c>
      <c r="AP102" s="64" t="n">
        <v>0.463157895</v>
      </c>
      <c r="AQ102" s="64" t="n">
        <v>0.010526316</v>
      </c>
      <c r="AR102" s="64"/>
      <c r="AS102" s="64"/>
      <c r="AT102" s="64"/>
      <c r="AU102" s="64"/>
      <c r="AV102" s="64"/>
      <c r="AW102" s="64"/>
      <c r="AX102" s="64"/>
      <c r="AY102" s="64"/>
      <c r="AZ102" s="64"/>
      <c r="BA102" s="64" t="n">
        <f aca="false">AL102/SUM($AL102:$AQ102)</f>
        <v>0.147368421</v>
      </c>
      <c r="BB102" s="64" t="n">
        <f aca="false">AM102/SUM($AL102:$AQ102)</f>
        <v>0.115789474</v>
      </c>
      <c r="BC102" s="64" t="n">
        <f aca="false">AN102/SUM($AL102:$AQ102)</f>
        <v>0.178947368</v>
      </c>
      <c r="BD102" s="64" t="n">
        <f aca="false">AO102/SUM($AL102:$AQ102)</f>
        <v>0.084210526</v>
      </c>
      <c r="BE102" s="64" t="n">
        <f aca="false">AP102/SUM($AL102:$AQ102)</f>
        <v>0.463157895</v>
      </c>
      <c r="BF102" s="64" t="n">
        <f aca="false">AQ102/SUM($AL102:$AQ102)</f>
        <v>0.010526316</v>
      </c>
      <c r="BG102" s="65" t="e">
        <f aca="false">#N/A</f>
        <v>#N/A</v>
      </c>
      <c r="BH102" s="37" t="s">
        <v>393</v>
      </c>
      <c r="BI102" s="37" t="s">
        <v>463</v>
      </c>
      <c r="BJ102" s="37" t="s">
        <v>675</v>
      </c>
      <c r="BK102" s="40" t="s">
        <v>7</v>
      </c>
      <c r="BL102" s="37" t="s">
        <v>7</v>
      </c>
      <c r="BM102" s="37" t="s">
        <v>397</v>
      </c>
      <c r="BN102" s="37" t="s">
        <v>397</v>
      </c>
      <c r="BO102" s="37" t="s">
        <v>595</v>
      </c>
      <c r="BP102" s="37" t="s">
        <v>397</v>
      </c>
      <c r="BQ102" s="37" t="s">
        <v>397</v>
      </c>
      <c r="BR102" s="37"/>
      <c r="BS102" s="37"/>
      <c r="BT102" s="37" t="s">
        <v>676</v>
      </c>
      <c r="BU102" s="37" t="s">
        <v>677</v>
      </c>
      <c r="BV102" s="37" t="s">
        <v>678</v>
      </c>
      <c r="BW102" s="37" t="s">
        <v>402</v>
      </c>
    </row>
    <row r="103" customFormat="false" ht="14.9" hidden="false" customHeight="false" outlineLevel="0" collapsed="false">
      <c r="A103" s="37" t="s">
        <v>682</v>
      </c>
      <c r="B103" s="62" t="s">
        <v>130</v>
      </c>
      <c r="C103" s="37" t="s">
        <v>129</v>
      </c>
      <c r="D103" s="37" t="n">
        <f aca="false">INDEX(Strain_IDs!C:C,MATCH(Table1[[#This Row],[Strains]],Strain_IDs!D:D,0))</f>
        <v>7</v>
      </c>
      <c r="E103" s="37" t="s">
        <v>382</v>
      </c>
      <c r="F103" s="37" t="s">
        <v>20</v>
      </c>
      <c r="G103" s="37" t="s">
        <v>21</v>
      </c>
      <c r="H103" s="37" t="s">
        <v>27</v>
      </c>
      <c r="I103" s="37" t="s">
        <v>455</v>
      </c>
      <c r="J103" s="37" t="s">
        <v>480</v>
      </c>
      <c r="K103" s="37" t="s">
        <v>384</v>
      </c>
      <c r="L103" s="37" t="s">
        <v>20</v>
      </c>
      <c r="M103" s="37" t="s">
        <v>385</v>
      </c>
      <c r="N103" s="37" t="s">
        <v>27</v>
      </c>
      <c r="O103" s="40" t="s">
        <v>455</v>
      </c>
      <c r="P103" s="40" t="s">
        <v>480</v>
      </c>
      <c r="Q103" s="37" t="s">
        <v>456</v>
      </c>
      <c r="R103" s="37" t="s">
        <v>62</v>
      </c>
      <c r="S103" s="37" t="s">
        <v>63</v>
      </c>
      <c r="T103" s="37" t="s">
        <v>387</v>
      </c>
      <c r="U103" s="37" t="s">
        <v>133</v>
      </c>
      <c r="V103" s="37" t="s">
        <v>134</v>
      </c>
      <c r="W103" s="37" t="s">
        <v>683</v>
      </c>
      <c r="X103" s="37" t="n">
        <v>28</v>
      </c>
      <c r="Y103" s="37"/>
      <c r="Z103" s="37" t="n">
        <v>7.6</v>
      </c>
      <c r="AA103" s="37"/>
      <c r="AB103" s="37"/>
      <c r="AC103" s="37"/>
      <c r="AD103" s="37" t="n">
        <v>101.6</v>
      </c>
      <c r="AE103" s="37" t="s">
        <v>684</v>
      </c>
      <c r="AF103" s="37" t="s">
        <v>673</v>
      </c>
      <c r="AG103" s="62" t="s">
        <v>446</v>
      </c>
      <c r="AH103" s="63" t="s">
        <v>447</v>
      </c>
      <c r="AI103" s="62" t="n">
        <v>0.1</v>
      </c>
      <c r="AJ103" s="37" t="s">
        <v>674</v>
      </c>
      <c r="AK103" s="37" t="n">
        <f aca="false">SUM(Table1[[#This Row],[reported_1302]:[reported_1286_iso]])</f>
        <v>1.000000001</v>
      </c>
      <c r="AL103" s="64" t="n">
        <v>0.170212766</v>
      </c>
      <c r="AM103" s="64" t="n">
        <v>0.117021277</v>
      </c>
      <c r="AN103" s="64" t="n">
        <v>0.159574468</v>
      </c>
      <c r="AO103" s="64" t="n">
        <v>0.085106383</v>
      </c>
      <c r="AP103" s="64" t="n">
        <v>0.457446809</v>
      </c>
      <c r="AQ103" s="64" t="n">
        <v>0.010638298</v>
      </c>
      <c r="AR103" s="64"/>
      <c r="AS103" s="64"/>
      <c r="AT103" s="64"/>
      <c r="AU103" s="64"/>
      <c r="AV103" s="64"/>
      <c r="AW103" s="64"/>
      <c r="AX103" s="64"/>
      <c r="AY103" s="64"/>
      <c r="AZ103" s="64"/>
      <c r="BA103" s="64" t="n">
        <f aca="false">AL103/SUM($AL103:$AQ103)</f>
        <v>0.170212765829787</v>
      </c>
      <c r="BB103" s="64" t="n">
        <f aca="false">AM103/SUM($AL103:$AQ103)</f>
        <v>0.117021276882979</v>
      </c>
      <c r="BC103" s="64" t="n">
        <f aca="false">AN103/SUM($AL103:$AQ103)</f>
        <v>0.159574467840426</v>
      </c>
      <c r="BD103" s="64" t="n">
        <f aca="false">AO103/SUM($AL103:$AQ103)</f>
        <v>0.0851063829148936</v>
      </c>
      <c r="BE103" s="64" t="n">
        <f aca="false">AP103/SUM($AL103:$AQ103)</f>
        <v>0.457446808542553</v>
      </c>
      <c r="BF103" s="64" t="n">
        <f aca="false">AQ103/SUM($AL103:$AQ103)</f>
        <v>0.0106382979893617</v>
      </c>
      <c r="BG103" s="65" t="e">
        <f aca="false">#N/A</f>
        <v>#N/A</v>
      </c>
      <c r="BH103" s="37" t="s">
        <v>393</v>
      </c>
      <c r="BI103" s="37" t="s">
        <v>463</v>
      </c>
      <c r="BJ103" s="37" t="s">
        <v>675</v>
      </c>
      <c r="BK103" s="40" t="s">
        <v>7</v>
      </c>
      <c r="BL103" s="37" t="s">
        <v>7</v>
      </c>
      <c r="BM103" s="37" t="s">
        <v>397</v>
      </c>
      <c r="BN103" s="37" t="s">
        <v>397</v>
      </c>
      <c r="BO103" s="37" t="s">
        <v>595</v>
      </c>
      <c r="BP103" s="37" t="s">
        <v>397</v>
      </c>
      <c r="BQ103" s="37" t="s">
        <v>397</v>
      </c>
      <c r="BR103" s="37"/>
      <c r="BS103" s="37"/>
      <c r="BT103" s="37" t="s">
        <v>676</v>
      </c>
      <c r="BU103" s="37" t="s">
        <v>677</v>
      </c>
      <c r="BV103" s="37" t="s">
        <v>678</v>
      </c>
      <c r="BW103" s="37" t="s">
        <v>402</v>
      </c>
    </row>
    <row r="104" customFormat="false" ht="14.9" hidden="false" customHeight="false" outlineLevel="0" collapsed="false">
      <c r="A104" s="37" t="s">
        <v>685</v>
      </c>
      <c r="B104" s="62" t="s">
        <v>165</v>
      </c>
      <c r="C104" s="37" t="s">
        <v>164</v>
      </c>
      <c r="D104" s="37" t="n">
        <f aca="false">INDEX(Strain_IDs!C:C,MATCH(Table1[[#This Row],[Strains]],Strain_IDs!D:D,0))</f>
        <v>10</v>
      </c>
      <c r="E104" s="37" t="s">
        <v>382</v>
      </c>
      <c r="F104" s="37" t="s">
        <v>20</v>
      </c>
      <c r="G104" s="37" t="s">
        <v>21</v>
      </c>
      <c r="H104" s="37" t="s">
        <v>27</v>
      </c>
      <c r="I104" s="37" t="s">
        <v>686</v>
      </c>
      <c r="J104" s="37"/>
      <c r="K104" s="37" t="s">
        <v>384</v>
      </c>
      <c r="L104" s="37" t="s">
        <v>20</v>
      </c>
      <c r="M104" s="37" t="s">
        <v>385</v>
      </c>
      <c r="N104" s="37" t="s">
        <v>27</v>
      </c>
      <c r="O104" s="37" t="s">
        <v>686</v>
      </c>
      <c r="P104" s="37"/>
      <c r="Q104" s="37" t="s">
        <v>456</v>
      </c>
      <c r="R104" s="37" t="s">
        <v>62</v>
      </c>
      <c r="S104" s="37" t="s">
        <v>63</v>
      </c>
      <c r="T104" s="37" t="s">
        <v>387</v>
      </c>
      <c r="U104" s="37" t="s">
        <v>687</v>
      </c>
      <c r="V104" s="37" t="s">
        <v>688</v>
      </c>
      <c r="W104" s="37" t="s">
        <v>689</v>
      </c>
      <c r="X104" s="37" t="n">
        <v>22</v>
      </c>
      <c r="Y104" s="37"/>
      <c r="Z104" s="37" t="n">
        <v>7.1</v>
      </c>
      <c r="AA104" s="37"/>
      <c r="AB104" s="37" t="n">
        <v>500</v>
      </c>
      <c r="AC104" s="37"/>
      <c r="AD104" s="37"/>
      <c r="AE104" s="37"/>
      <c r="AF104" s="37" t="s">
        <v>389</v>
      </c>
      <c r="AG104" s="62" t="s">
        <v>446</v>
      </c>
      <c r="AH104" s="63" t="s">
        <v>447</v>
      </c>
      <c r="AI104" s="62" t="s">
        <v>690</v>
      </c>
      <c r="AJ104" s="37" t="s">
        <v>448</v>
      </c>
      <c r="AK104" s="37" t="n">
        <f aca="false">SUM(Table1[[#This Row],[reported_1302]:[reported_1286_iso]])</f>
        <v>0.969</v>
      </c>
      <c r="AL104" s="64" t="n">
        <v>0.35</v>
      </c>
      <c r="AM104" s="64" t="n">
        <v>0.17</v>
      </c>
      <c r="AN104" s="64" t="n">
        <v>0.05</v>
      </c>
      <c r="AO104" s="64" t="n">
        <v>0.01</v>
      </c>
      <c r="AP104" s="64" t="n">
        <v>0.34</v>
      </c>
      <c r="AQ104" s="64" t="n">
        <v>0.004</v>
      </c>
      <c r="AR104" s="64" t="n">
        <v>0.04</v>
      </c>
      <c r="AS104" s="64"/>
      <c r="AT104" s="64"/>
      <c r="AU104" s="64"/>
      <c r="AV104" s="64"/>
      <c r="AW104" s="64" t="n">
        <v>0.005</v>
      </c>
      <c r="AX104" s="64"/>
      <c r="AY104" s="64"/>
      <c r="AZ104" s="64"/>
      <c r="BA104" s="64" t="n">
        <f aca="false">AL104/SUM($AL104:$AQ104)</f>
        <v>0.378787878787879</v>
      </c>
      <c r="BB104" s="64" t="n">
        <f aca="false">AM104/SUM($AL104:$AQ104)</f>
        <v>0.183982683982684</v>
      </c>
      <c r="BC104" s="64" t="n">
        <f aca="false">AN104/SUM($AL104:$AQ104)</f>
        <v>0.0541125541125541</v>
      </c>
      <c r="BD104" s="64" t="n">
        <f aca="false">AO104/SUM($AL104:$AQ104)</f>
        <v>0.0108225108225108</v>
      </c>
      <c r="BE104" s="64" t="n">
        <f aca="false">AP104/SUM($AL104:$AQ104)</f>
        <v>0.367965367965368</v>
      </c>
      <c r="BF104" s="64" t="n">
        <f aca="false">AQ104/SUM($AL104:$AQ104)</f>
        <v>0.00432900432900433</v>
      </c>
      <c r="BG104" s="65" t="e">
        <f aca="false">#N/A</f>
        <v>#N/A</v>
      </c>
      <c r="BH104" s="37" t="s">
        <v>393</v>
      </c>
      <c r="BI104" s="37" t="s">
        <v>463</v>
      </c>
      <c r="BJ104" s="37" t="s">
        <v>691</v>
      </c>
      <c r="BK104" s="40" t="s">
        <v>4</v>
      </c>
      <c r="BL104" s="37" t="s">
        <v>4</v>
      </c>
      <c r="BM104" s="37" t="s">
        <v>397</v>
      </c>
      <c r="BN104" s="37" t="s">
        <v>397</v>
      </c>
      <c r="BO104" s="37" t="s">
        <v>595</v>
      </c>
      <c r="BP104" s="37" t="s">
        <v>397</v>
      </c>
      <c r="BQ104" s="37" t="s">
        <v>397</v>
      </c>
      <c r="BR104" s="37"/>
      <c r="BS104" s="37"/>
      <c r="BT104" s="37" t="s">
        <v>126</v>
      </c>
      <c r="BU104" s="37" t="s">
        <v>597</v>
      </c>
      <c r="BV104" s="37" t="s">
        <v>127</v>
      </c>
      <c r="BW104" s="37" t="s">
        <v>402</v>
      </c>
    </row>
    <row r="105" customFormat="false" ht="14.9" hidden="false" customHeight="false" outlineLevel="0" collapsed="false">
      <c r="A105" s="37" t="s">
        <v>692</v>
      </c>
      <c r="B105" s="62" t="s">
        <v>151</v>
      </c>
      <c r="C105" s="40" t="s">
        <v>150</v>
      </c>
      <c r="D105" s="37" t="n">
        <f aca="false">INDEX(Strain_IDs!C:C,MATCH(Table1[[#This Row],[Strains]],Strain_IDs!D:D,0))</f>
        <v>8.1</v>
      </c>
      <c r="E105" s="37" t="s">
        <v>382</v>
      </c>
      <c r="F105" s="37" t="s">
        <v>20</v>
      </c>
      <c r="G105" s="37" t="s">
        <v>21</v>
      </c>
      <c r="H105" s="37" t="s">
        <v>27</v>
      </c>
      <c r="I105" s="37" t="s">
        <v>455</v>
      </c>
      <c r="J105" s="37"/>
      <c r="K105" s="37" t="s">
        <v>384</v>
      </c>
      <c r="L105" s="37" t="s">
        <v>20</v>
      </c>
      <c r="M105" s="37" t="s">
        <v>385</v>
      </c>
      <c r="N105" s="37" t="s">
        <v>27</v>
      </c>
      <c r="O105" s="40" t="s">
        <v>455</v>
      </c>
      <c r="P105" s="40"/>
      <c r="Q105" s="37" t="s">
        <v>456</v>
      </c>
      <c r="R105" s="37" t="s">
        <v>62</v>
      </c>
      <c r="S105" s="37" t="s">
        <v>63</v>
      </c>
      <c r="T105" s="37" t="s">
        <v>387</v>
      </c>
      <c r="U105" s="37" t="s">
        <v>693</v>
      </c>
      <c r="V105" s="37" t="s">
        <v>154</v>
      </c>
      <c r="W105" s="37" t="s">
        <v>694</v>
      </c>
      <c r="X105" s="37" t="n">
        <v>25</v>
      </c>
      <c r="Y105" s="37"/>
      <c r="Z105" s="37" t="n">
        <v>8.2</v>
      </c>
      <c r="AA105" s="37"/>
      <c r="AB105" s="37" t="n">
        <v>100</v>
      </c>
      <c r="AC105" s="37"/>
      <c r="AD105" s="37"/>
      <c r="AE105" s="37"/>
      <c r="AF105" s="37" t="s">
        <v>389</v>
      </c>
      <c r="AG105" s="62" t="s">
        <v>446</v>
      </c>
      <c r="AH105" s="63" t="s">
        <v>447</v>
      </c>
      <c r="AI105" s="62" t="s">
        <v>690</v>
      </c>
      <c r="AJ105" s="37" t="s">
        <v>448</v>
      </c>
      <c r="AK105" s="37" t="n">
        <f aca="false">SUM(Table1[[#This Row],[reported_1302]:[reported_1286_iso]])</f>
        <v>0.9</v>
      </c>
      <c r="AL105" s="64" t="n">
        <v>0.26</v>
      </c>
      <c r="AM105" s="64" t="n">
        <v>0.08</v>
      </c>
      <c r="AN105" s="64" t="n">
        <v>0.11</v>
      </c>
      <c r="AO105" s="64" t="n">
        <v>0.08</v>
      </c>
      <c r="AP105" s="64" t="n">
        <v>0.24</v>
      </c>
      <c r="AQ105" s="64" t="n">
        <v>0.01</v>
      </c>
      <c r="AR105" s="64" t="n">
        <v>0.12</v>
      </c>
      <c r="AS105" s="64"/>
      <c r="AT105" s="64"/>
      <c r="AU105" s="64"/>
      <c r="AV105" s="64"/>
      <c r="AW105" s="64"/>
      <c r="AX105" s="64"/>
      <c r="AY105" s="64"/>
      <c r="AZ105" s="64"/>
      <c r="BA105" s="64" t="n">
        <f aca="false">AL105/SUM($AL105:$AQ105)</f>
        <v>0.333333333333333</v>
      </c>
      <c r="BB105" s="64" t="n">
        <f aca="false">AM105/SUM($AL105:$AQ105)</f>
        <v>0.102564102564103</v>
      </c>
      <c r="BC105" s="64" t="n">
        <f aca="false">AN105/SUM($AL105:$AQ105)</f>
        <v>0.141025641025641</v>
      </c>
      <c r="BD105" s="64" t="n">
        <f aca="false">AO105/SUM($AL105:$AQ105)</f>
        <v>0.102564102564103</v>
      </c>
      <c r="BE105" s="64" t="n">
        <f aca="false">AP105/SUM($AL105:$AQ105)</f>
        <v>0.307692307692308</v>
      </c>
      <c r="BF105" s="64" t="n">
        <f aca="false">AQ105/SUM($AL105:$AQ105)</f>
        <v>0.0128205128205128</v>
      </c>
      <c r="BG105" s="65" t="e">
        <f aca="false">#N/A</f>
        <v>#N/A</v>
      </c>
      <c r="BH105" s="37" t="s">
        <v>393</v>
      </c>
      <c r="BI105" s="37" t="s">
        <v>463</v>
      </c>
      <c r="BJ105" s="37" t="s">
        <v>691</v>
      </c>
      <c r="BK105" s="40" t="s">
        <v>4</v>
      </c>
      <c r="BL105" s="37" t="s">
        <v>4</v>
      </c>
      <c r="BM105" s="37" t="s">
        <v>397</v>
      </c>
      <c r="BN105" s="37" t="s">
        <v>397</v>
      </c>
      <c r="BO105" s="37" t="s">
        <v>595</v>
      </c>
      <c r="BP105" s="37" t="s">
        <v>397</v>
      </c>
      <c r="BQ105" s="37" t="s">
        <v>399</v>
      </c>
      <c r="BR105" s="37"/>
      <c r="BS105" s="37"/>
      <c r="BT105" s="37" t="s">
        <v>126</v>
      </c>
      <c r="BU105" s="37" t="s">
        <v>597</v>
      </c>
      <c r="BV105" s="37" t="s">
        <v>127</v>
      </c>
      <c r="BW105" s="37" t="s">
        <v>402</v>
      </c>
    </row>
    <row r="106" customFormat="false" ht="14.9" hidden="false" customHeight="false" outlineLevel="0" collapsed="false">
      <c r="A106" s="37" t="s">
        <v>695</v>
      </c>
      <c r="B106" s="62" t="s">
        <v>119</v>
      </c>
      <c r="C106" s="37" t="s">
        <v>118</v>
      </c>
      <c r="D106" s="37" t="n">
        <f aca="false">INDEX(Strain_IDs!C:C,MATCH(Table1[[#This Row],[Strains]],Strain_IDs!D:D,0))</f>
        <v>6</v>
      </c>
      <c r="E106" s="37" t="s">
        <v>382</v>
      </c>
      <c r="F106" s="37" t="s">
        <v>20</v>
      </c>
      <c r="G106" s="37" t="s">
        <v>21</v>
      </c>
      <c r="H106" s="37" t="s">
        <v>27</v>
      </c>
      <c r="I106" s="37" t="s">
        <v>455</v>
      </c>
      <c r="J106" s="37"/>
      <c r="K106" s="37" t="s">
        <v>384</v>
      </c>
      <c r="L106" s="37" t="s">
        <v>20</v>
      </c>
      <c r="M106" s="37" t="s">
        <v>385</v>
      </c>
      <c r="N106" s="37" t="s">
        <v>27</v>
      </c>
      <c r="O106" s="40" t="s">
        <v>455</v>
      </c>
      <c r="P106" s="40"/>
      <c r="Q106" s="37" t="s">
        <v>456</v>
      </c>
      <c r="R106" s="37" t="s">
        <v>62</v>
      </c>
      <c r="S106" s="37" t="s">
        <v>63</v>
      </c>
      <c r="T106" s="37" t="s">
        <v>387</v>
      </c>
      <c r="U106" s="37" t="s">
        <v>696</v>
      </c>
      <c r="V106" s="37" t="s">
        <v>697</v>
      </c>
      <c r="W106" s="37" t="s">
        <v>698</v>
      </c>
      <c r="X106" s="37" t="n">
        <v>25</v>
      </c>
      <c r="Y106" s="37"/>
      <c r="Z106" s="37" t="n">
        <v>8.2</v>
      </c>
      <c r="AA106" s="37"/>
      <c r="AB106" s="37" t="n">
        <v>100</v>
      </c>
      <c r="AC106" s="37"/>
      <c r="AD106" s="37"/>
      <c r="AE106" s="37"/>
      <c r="AF106" s="37" t="s">
        <v>389</v>
      </c>
      <c r="AG106" s="62" t="s">
        <v>446</v>
      </c>
      <c r="AH106" s="63" t="s">
        <v>447</v>
      </c>
      <c r="AI106" s="62" t="s">
        <v>690</v>
      </c>
      <c r="AJ106" s="37" t="s">
        <v>448</v>
      </c>
      <c r="AK106" s="37" t="n">
        <f aca="false">SUM(Table1[[#This Row],[reported_1302]:[reported_1286_iso]])</f>
        <v>0.936</v>
      </c>
      <c r="AL106" s="64" t="n">
        <v>0.31</v>
      </c>
      <c r="AM106" s="64" t="n">
        <v>0.1</v>
      </c>
      <c r="AN106" s="64" t="n">
        <v>0.09</v>
      </c>
      <c r="AO106" s="64" t="n">
        <v>0.04</v>
      </c>
      <c r="AP106" s="64" t="n">
        <v>0.35</v>
      </c>
      <c r="AQ106" s="64" t="n">
        <v>0.006</v>
      </c>
      <c r="AR106" s="64" t="n">
        <v>0.04</v>
      </c>
      <c r="AS106" s="64"/>
      <c r="AT106" s="64"/>
      <c r="AU106" s="64"/>
      <c r="AV106" s="64"/>
      <c r="AW106" s="64"/>
      <c r="AX106" s="64"/>
      <c r="AY106" s="64"/>
      <c r="AZ106" s="64"/>
      <c r="BA106" s="64" t="n">
        <f aca="false">AL106/SUM($AL106:$AQ106)</f>
        <v>0.345982142857143</v>
      </c>
      <c r="BB106" s="64" t="n">
        <f aca="false">AM106/SUM($AL106:$AQ106)</f>
        <v>0.111607142857143</v>
      </c>
      <c r="BC106" s="64" t="n">
        <f aca="false">AN106/SUM($AL106:$AQ106)</f>
        <v>0.100446428571429</v>
      </c>
      <c r="BD106" s="64" t="n">
        <f aca="false">AO106/SUM($AL106:$AQ106)</f>
        <v>0.0446428571428571</v>
      </c>
      <c r="BE106" s="64" t="n">
        <f aca="false">AP106/SUM($AL106:$AQ106)</f>
        <v>0.390625</v>
      </c>
      <c r="BF106" s="64" t="n">
        <f aca="false">AQ106/SUM($AL106:$AQ106)</f>
        <v>0.00669642857142857</v>
      </c>
      <c r="BG106" s="65" t="e">
        <f aca="false">#N/A</f>
        <v>#N/A</v>
      </c>
      <c r="BH106" s="37" t="s">
        <v>393</v>
      </c>
      <c r="BI106" s="37" t="s">
        <v>463</v>
      </c>
      <c r="BJ106" s="37" t="s">
        <v>691</v>
      </c>
      <c r="BK106" s="40" t="s">
        <v>4</v>
      </c>
      <c r="BL106" s="37" t="s">
        <v>4</v>
      </c>
      <c r="BM106" s="37" t="s">
        <v>397</v>
      </c>
      <c r="BN106" s="37" t="s">
        <v>397</v>
      </c>
      <c r="BO106" s="37" t="s">
        <v>595</v>
      </c>
      <c r="BP106" s="37" t="s">
        <v>397</v>
      </c>
      <c r="BQ106" s="37" t="s">
        <v>397</v>
      </c>
      <c r="BR106" s="37"/>
      <c r="BS106" s="37"/>
      <c r="BT106" s="37" t="s">
        <v>126</v>
      </c>
      <c r="BU106" s="37" t="s">
        <v>597</v>
      </c>
      <c r="BV106" s="37" t="s">
        <v>127</v>
      </c>
      <c r="BW106" s="37" t="s">
        <v>402</v>
      </c>
    </row>
    <row r="107" customFormat="false" ht="14.9" hidden="false" customHeight="false" outlineLevel="0" collapsed="false">
      <c r="A107" s="37" t="s">
        <v>699</v>
      </c>
      <c r="B107" s="62" t="s">
        <v>156</v>
      </c>
      <c r="C107" s="37" t="s">
        <v>700</v>
      </c>
      <c r="D107" s="37" t="n">
        <f aca="false">INDEX(Strain_IDs!C:C,MATCH(Table1[[#This Row],[Strains]],Strain_IDs!D:D,0))</f>
        <v>9</v>
      </c>
      <c r="E107" s="37" t="s">
        <v>382</v>
      </c>
      <c r="F107" s="37" t="s">
        <v>20</v>
      </c>
      <c r="G107" s="37" t="s">
        <v>21</v>
      </c>
      <c r="H107" s="37" t="s">
        <v>27</v>
      </c>
      <c r="I107" s="37" t="s">
        <v>686</v>
      </c>
      <c r="J107" s="37" t="s">
        <v>701</v>
      </c>
      <c r="K107" s="37" t="s">
        <v>384</v>
      </c>
      <c r="L107" s="37" t="s">
        <v>20</v>
      </c>
      <c r="M107" s="37" t="s">
        <v>385</v>
      </c>
      <c r="N107" s="37" t="s">
        <v>27</v>
      </c>
      <c r="O107" s="37" t="s">
        <v>686</v>
      </c>
      <c r="P107" s="37" t="s">
        <v>701</v>
      </c>
      <c r="Q107" s="37" t="s">
        <v>702</v>
      </c>
      <c r="R107" s="37" t="s">
        <v>62</v>
      </c>
      <c r="S107" s="37" t="s">
        <v>63</v>
      </c>
      <c r="T107" s="37" t="s">
        <v>387</v>
      </c>
      <c r="U107" s="37"/>
      <c r="V107" s="37"/>
      <c r="W107" s="37" t="s">
        <v>703</v>
      </c>
      <c r="X107" s="37" t="n">
        <v>25</v>
      </c>
      <c r="Y107" s="37"/>
      <c r="Z107" s="37" t="n">
        <v>6.9</v>
      </c>
      <c r="AA107" s="37"/>
      <c r="AB107" s="37"/>
      <c r="AC107" s="37"/>
      <c r="AD107" s="37"/>
      <c r="AE107" s="37"/>
      <c r="AF107" s="37" t="s">
        <v>389</v>
      </c>
      <c r="AG107" s="62" t="s">
        <v>446</v>
      </c>
      <c r="AH107" s="63" t="s">
        <v>447</v>
      </c>
      <c r="AI107" s="62"/>
      <c r="AJ107" s="37" t="s">
        <v>448</v>
      </c>
      <c r="AK107" s="37" t="n">
        <f aca="false">SUM(Table1[[#This Row],[reported_1302]:[reported_1286_iso]])</f>
        <v>92</v>
      </c>
      <c r="AL107" s="64" t="n">
        <v>13.7</v>
      </c>
      <c r="AM107" s="64" t="n">
        <v>15.3</v>
      </c>
      <c r="AN107" s="64" t="n">
        <v>14.3</v>
      </c>
      <c r="AO107" s="64" t="n">
        <v>5.5</v>
      </c>
      <c r="AP107" s="64" t="n">
        <v>35.8</v>
      </c>
      <c r="AQ107" s="64" t="n">
        <v>1.1</v>
      </c>
      <c r="AR107" s="64" t="n">
        <v>6.3</v>
      </c>
      <c r="AS107" s="64"/>
      <c r="AT107" s="64"/>
      <c r="AU107" s="64"/>
      <c r="AV107" s="64"/>
      <c r="AW107" s="64"/>
      <c r="AX107" s="64"/>
      <c r="AY107" s="64"/>
      <c r="AZ107" s="64"/>
      <c r="BA107" s="64" t="n">
        <f aca="false">AL107/SUM($AL107:$AQ107)</f>
        <v>0.159859976662777</v>
      </c>
      <c r="BB107" s="64" t="n">
        <f aca="false">AM107/SUM($AL107:$AQ107)</f>
        <v>0.17852975495916</v>
      </c>
      <c r="BC107" s="64" t="n">
        <f aca="false">AN107/SUM($AL107:$AQ107)</f>
        <v>0.166861143523921</v>
      </c>
      <c r="BD107" s="64" t="n">
        <f aca="false">AO107/SUM($AL107:$AQ107)</f>
        <v>0.0641773628938156</v>
      </c>
      <c r="BE107" s="64" t="n">
        <f aca="false">AP107/SUM($AL107:$AQ107)</f>
        <v>0.417736289381564</v>
      </c>
      <c r="BF107" s="64" t="n">
        <f aca="false">AQ107/SUM($AL107:$AQ107)</f>
        <v>0.0128354725787631</v>
      </c>
      <c r="BG107" s="65" t="e">
        <f aca="false">#N/A</f>
        <v>#N/A</v>
      </c>
      <c r="BH107" s="37" t="s">
        <v>393</v>
      </c>
      <c r="BI107" s="37" t="s">
        <v>463</v>
      </c>
      <c r="BJ107" s="37" t="s">
        <v>704</v>
      </c>
      <c r="BK107" s="40" t="s">
        <v>4</v>
      </c>
      <c r="BL107" s="37" t="s">
        <v>4</v>
      </c>
      <c r="BM107" s="37" t="s">
        <v>397</v>
      </c>
      <c r="BN107" s="37" t="s">
        <v>397</v>
      </c>
      <c r="BO107" s="37" t="s">
        <v>595</v>
      </c>
      <c r="BP107" s="37" t="s">
        <v>397</v>
      </c>
      <c r="BQ107" s="37" t="s">
        <v>397</v>
      </c>
      <c r="BR107" s="37"/>
      <c r="BS107" s="37"/>
      <c r="BT107" s="37" t="s">
        <v>219</v>
      </c>
      <c r="BU107" s="37" t="s">
        <v>705</v>
      </c>
      <c r="BV107" s="37" t="s">
        <v>220</v>
      </c>
      <c r="BW107" s="37" t="s">
        <v>402</v>
      </c>
    </row>
    <row r="108" customFormat="false" ht="14.9" hidden="false" customHeight="false" outlineLevel="0" collapsed="false">
      <c r="A108" s="37" t="s">
        <v>706</v>
      </c>
      <c r="B108" s="62" t="s">
        <v>299</v>
      </c>
      <c r="C108" s="37" t="s">
        <v>298</v>
      </c>
      <c r="D108" s="37" t="n">
        <f aca="false">INDEX(Strain_IDs!C:C,MATCH(Table1[[#This Row],[Strains]],Strain_IDs!D:D,0))</f>
        <v>25.1</v>
      </c>
      <c r="E108" s="37" t="s">
        <v>382</v>
      </c>
      <c r="F108" s="37" t="s">
        <v>20</v>
      </c>
      <c r="G108" s="37" t="s">
        <v>21</v>
      </c>
      <c r="H108" s="37" t="s">
        <v>27</v>
      </c>
      <c r="I108" s="37" t="s">
        <v>520</v>
      </c>
      <c r="J108" s="37"/>
      <c r="K108" s="37" t="s">
        <v>384</v>
      </c>
      <c r="L108" s="37" t="s">
        <v>20</v>
      </c>
      <c r="M108" s="37" t="s">
        <v>385</v>
      </c>
      <c r="N108" s="37" t="s">
        <v>27</v>
      </c>
      <c r="O108" s="37" t="s">
        <v>520</v>
      </c>
      <c r="P108" s="37"/>
      <c r="Q108" s="37" t="s">
        <v>702</v>
      </c>
      <c r="R108" s="37" t="s">
        <v>207</v>
      </c>
      <c r="S108" s="37" t="s">
        <v>208</v>
      </c>
      <c r="T108" s="37" t="s">
        <v>387</v>
      </c>
      <c r="U108" s="37"/>
      <c r="V108" s="37"/>
      <c r="W108" s="37" t="s">
        <v>707</v>
      </c>
      <c r="X108" s="37" t="n">
        <v>37</v>
      </c>
      <c r="Y108" s="37"/>
      <c r="Z108" s="37" t="n">
        <v>7.5</v>
      </c>
      <c r="AA108" s="37"/>
      <c r="AB108" s="37"/>
      <c r="AC108" s="37"/>
      <c r="AD108" s="37"/>
      <c r="AE108" s="37"/>
      <c r="AF108" s="37" t="s">
        <v>389</v>
      </c>
      <c r="AG108" s="62" t="s">
        <v>446</v>
      </c>
      <c r="AH108" s="63" t="s">
        <v>447</v>
      </c>
      <c r="AI108" s="62"/>
      <c r="AJ108" s="37" t="s">
        <v>448</v>
      </c>
      <c r="AK108" s="37" t="n">
        <f aca="false">SUM(Table1[[#This Row],[reported_1302]:[reported_1286_iso]])</f>
        <v>90</v>
      </c>
      <c r="AL108" s="64" t="n">
        <v>2.9</v>
      </c>
      <c r="AM108" s="64" t="n">
        <v>4</v>
      </c>
      <c r="AN108" s="64" t="n">
        <v>3.4</v>
      </c>
      <c r="AO108" s="64" t="n">
        <v>5</v>
      </c>
      <c r="AP108" s="64" t="n">
        <v>29.2</v>
      </c>
      <c r="AQ108" s="64" t="n">
        <v>13.7</v>
      </c>
      <c r="AR108" s="64" t="n">
        <v>31.8</v>
      </c>
      <c r="AS108" s="64"/>
      <c r="AT108" s="64"/>
      <c r="AU108" s="64"/>
      <c r="AV108" s="64"/>
      <c r="AW108" s="64"/>
      <c r="AX108" s="64"/>
      <c r="AY108" s="64"/>
      <c r="AZ108" s="64"/>
      <c r="BA108" s="64" t="n">
        <f aca="false">AL108/SUM($AL108:$AQ108)</f>
        <v>0.0498281786941581</v>
      </c>
      <c r="BB108" s="64" t="n">
        <f aca="false">AM108/SUM($AL108:$AQ108)</f>
        <v>0.0687285223367698</v>
      </c>
      <c r="BC108" s="64" t="n">
        <f aca="false">AN108/SUM($AL108:$AQ108)</f>
        <v>0.0584192439862543</v>
      </c>
      <c r="BD108" s="64" t="n">
        <f aca="false">AO108/SUM($AL108:$AQ108)</f>
        <v>0.0859106529209622</v>
      </c>
      <c r="BE108" s="64" t="n">
        <f aca="false">AP108/SUM($AL108:$AQ108)</f>
        <v>0.501718213058419</v>
      </c>
      <c r="BF108" s="64" t="n">
        <f aca="false">AQ108/SUM($AL108:$AQ108)</f>
        <v>0.235395189003436</v>
      </c>
      <c r="BG108" s="65" t="e">
        <f aca="false">#N/A</f>
        <v>#N/A</v>
      </c>
      <c r="BH108" s="37" t="s">
        <v>393</v>
      </c>
      <c r="BI108" s="37" t="s">
        <v>463</v>
      </c>
      <c r="BJ108" s="37" t="s">
        <v>704</v>
      </c>
      <c r="BK108" s="40" t="s">
        <v>4</v>
      </c>
      <c r="BL108" s="37" t="s">
        <v>4</v>
      </c>
      <c r="BM108" s="37" t="s">
        <v>397</v>
      </c>
      <c r="BN108" s="37" t="s">
        <v>397</v>
      </c>
      <c r="BO108" s="37" t="s">
        <v>595</v>
      </c>
      <c r="BP108" s="37" t="s">
        <v>397</v>
      </c>
      <c r="BQ108" s="37" t="s">
        <v>397</v>
      </c>
      <c r="BR108" s="37"/>
      <c r="BS108" s="37"/>
      <c r="BT108" s="37" t="s">
        <v>219</v>
      </c>
      <c r="BU108" s="37" t="s">
        <v>705</v>
      </c>
      <c r="BV108" s="37" t="s">
        <v>220</v>
      </c>
      <c r="BW108" s="37" t="s">
        <v>402</v>
      </c>
    </row>
    <row r="109" customFormat="false" ht="14.9" hidden="false" customHeight="false" outlineLevel="0" collapsed="false">
      <c r="A109" s="37" t="s">
        <v>708</v>
      </c>
      <c r="B109" s="62" t="s">
        <v>214</v>
      </c>
      <c r="C109" s="37" t="s">
        <v>213</v>
      </c>
      <c r="D109" s="37" t="n">
        <f aca="false">INDEX(Strain_IDs!C:C,MATCH(Table1[[#This Row],[Strains]],Strain_IDs!D:D,0))</f>
        <v>16</v>
      </c>
      <c r="E109" s="37" t="s">
        <v>382</v>
      </c>
      <c r="F109" s="37" t="s">
        <v>20</v>
      </c>
      <c r="G109" s="37" t="s">
        <v>21</v>
      </c>
      <c r="H109" s="37" t="s">
        <v>28</v>
      </c>
      <c r="I109" s="37" t="s">
        <v>520</v>
      </c>
      <c r="J109" s="37" t="s">
        <v>709</v>
      </c>
      <c r="K109" s="37" t="s">
        <v>384</v>
      </c>
      <c r="L109" s="37" t="s">
        <v>20</v>
      </c>
      <c r="M109" s="37" t="s">
        <v>385</v>
      </c>
      <c r="N109" s="37" t="s">
        <v>27</v>
      </c>
      <c r="O109" s="37" t="s">
        <v>520</v>
      </c>
      <c r="P109" s="37" t="s">
        <v>709</v>
      </c>
      <c r="Q109" s="37" t="s">
        <v>702</v>
      </c>
      <c r="R109" s="37" t="s">
        <v>207</v>
      </c>
      <c r="S109" s="37" t="s">
        <v>208</v>
      </c>
      <c r="T109" s="37" t="s">
        <v>387</v>
      </c>
      <c r="U109" s="37"/>
      <c r="V109" s="37"/>
      <c r="W109" s="37" t="s">
        <v>710</v>
      </c>
      <c r="X109" s="37" t="n">
        <v>37</v>
      </c>
      <c r="Y109" s="37"/>
      <c r="Z109" s="37" t="n">
        <v>7.1</v>
      </c>
      <c r="AA109" s="37"/>
      <c r="AB109" s="37"/>
      <c r="AC109" s="37"/>
      <c r="AD109" s="37"/>
      <c r="AE109" s="37"/>
      <c r="AF109" s="37" t="s">
        <v>389</v>
      </c>
      <c r="AG109" s="62" t="s">
        <v>446</v>
      </c>
      <c r="AH109" s="63" t="s">
        <v>447</v>
      </c>
      <c r="AI109" s="62"/>
      <c r="AJ109" s="37" t="s">
        <v>448</v>
      </c>
      <c r="AK109" s="37" t="n">
        <f aca="false">SUM(Table1[[#This Row],[reported_1302]:[reported_1286_iso]])</f>
        <v>88.4</v>
      </c>
      <c r="AL109" s="64" t="n">
        <v>0.3</v>
      </c>
      <c r="AM109" s="64" t="n">
        <v>0.2</v>
      </c>
      <c r="AN109" s="64" t="n">
        <v>0.2</v>
      </c>
      <c r="AO109" s="64" t="n">
        <v>0.5</v>
      </c>
      <c r="AP109" s="64" t="n">
        <v>55.1</v>
      </c>
      <c r="AQ109" s="64" t="n">
        <v>22.9</v>
      </c>
      <c r="AR109" s="64" t="n">
        <v>9.2</v>
      </c>
      <c r="AS109" s="64"/>
      <c r="AT109" s="64"/>
      <c r="AU109" s="64"/>
      <c r="AV109" s="64"/>
      <c r="AW109" s="64"/>
      <c r="AX109" s="64"/>
      <c r="AY109" s="64"/>
      <c r="AZ109" s="64"/>
      <c r="BA109" s="64" t="n">
        <f aca="false">AL109/SUM($AL109:$AQ109)</f>
        <v>0.00378787878787879</v>
      </c>
      <c r="BB109" s="64" t="n">
        <f aca="false">AM109/SUM($AL109:$AQ109)</f>
        <v>0.00252525252525253</v>
      </c>
      <c r="BC109" s="64" t="n">
        <f aca="false">AN109/SUM($AL109:$AQ109)</f>
        <v>0.00252525252525253</v>
      </c>
      <c r="BD109" s="64" t="n">
        <f aca="false">AO109/SUM($AL109:$AQ109)</f>
        <v>0.00631313131313131</v>
      </c>
      <c r="BE109" s="64" t="n">
        <f aca="false">AP109/SUM($AL109:$AQ109)</f>
        <v>0.695707070707071</v>
      </c>
      <c r="BF109" s="64" t="n">
        <f aca="false">AQ109/SUM($AL109:$AQ109)</f>
        <v>0.289141414141414</v>
      </c>
      <c r="BG109" s="65" t="e">
        <f aca="false">#N/A</f>
        <v>#N/A</v>
      </c>
      <c r="BH109" s="37" t="s">
        <v>393</v>
      </c>
      <c r="BI109" s="37" t="s">
        <v>463</v>
      </c>
      <c r="BJ109" s="37" t="s">
        <v>704</v>
      </c>
      <c r="BK109" s="40" t="s">
        <v>4</v>
      </c>
      <c r="BL109" s="37" t="s">
        <v>4</v>
      </c>
      <c r="BM109" s="37" t="s">
        <v>397</v>
      </c>
      <c r="BN109" s="37" t="s">
        <v>397</v>
      </c>
      <c r="BO109" s="37" t="s">
        <v>595</v>
      </c>
      <c r="BP109" s="37" t="s">
        <v>397</v>
      </c>
      <c r="BQ109" s="37" t="s">
        <v>397</v>
      </c>
      <c r="BR109" s="37"/>
      <c r="BS109" s="37"/>
      <c r="BT109" s="37" t="s">
        <v>219</v>
      </c>
      <c r="BU109" s="37" t="s">
        <v>705</v>
      </c>
      <c r="BV109" s="37" t="s">
        <v>220</v>
      </c>
      <c r="BW109" s="37" t="s">
        <v>402</v>
      </c>
    </row>
    <row r="110" customFormat="false" ht="28.35" hidden="false" customHeight="false" outlineLevel="0" collapsed="false">
      <c r="A110" s="37" t="s">
        <v>711</v>
      </c>
      <c r="B110" s="62" t="s">
        <v>130</v>
      </c>
      <c r="C110" s="37" t="s">
        <v>129</v>
      </c>
      <c r="D110" s="37" t="n">
        <f aca="false">INDEX(Strain_IDs!C:C,MATCH(Table1[[#This Row],[Strains]],Strain_IDs!D:D,0))</f>
        <v>7</v>
      </c>
      <c r="E110" s="37" t="s">
        <v>382</v>
      </c>
      <c r="F110" s="37" t="s">
        <v>20</v>
      </c>
      <c r="G110" s="37" t="s">
        <v>21</v>
      </c>
      <c r="H110" s="37" t="s">
        <v>27</v>
      </c>
      <c r="I110" s="37" t="s">
        <v>455</v>
      </c>
      <c r="J110" s="37" t="s">
        <v>480</v>
      </c>
      <c r="K110" s="37" t="s">
        <v>384</v>
      </c>
      <c r="L110" s="37" t="s">
        <v>20</v>
      </c>
      <c r="M110" s="37" t="s">
        <v>385</v>
      </c>
      <c r="N110" s="37" t="s">
        <v>27</v>
      </c>
      <c r="O110" s="40" t="s">
        <v>455</v>
      </c>
      <c r="P110" s="40" t="s">
        <v>480</v>
      </c>
      <c r="Q110" s="37" t="s">
        <v>456</v>
      </c>
      <c r="R110" s="37" t="s">
        <v>62</v>
      </c>
      <c r="S110" s="37" t="s">
        <v>63</v>
      </c>
      <c r="T110" s="37" t="s">
        <v>387</v>
      </c>
      <c r="U110" s="37" t="s">
        <v>133</v>
      </c>
      <c r="V110" s="37" t="s">
        <v>134</v>
      </c>
      <c r="W110" s="37" t="s">
        <v>712</v>
      </c>
      <c r="X110" s="37" t="n">
        <v>28</v>
      </c>
      <c r="Y110" s="37"/>
      <c r="Z110" s="37" t="n">
        <v>7.1</v>
      </c>
      <c r="AA110" s="37"/>
      <c r="AB110" s="37" t="n">
        <v>500</v>
      </c>
      <c r="AC110" s="37"/>
      <c r="AD110" s="37"/>
      <c r="AE110" s="37"/>
      <c r="AF110" s="37" t="s">
        <v>389</v>
      </c>
      <c r="AG110" s="62" t="s">
        <v>446</v>
      </c>
      <c r="AH110" s="63" t="s">
        <v>713</v>
      </c>
      <c r="AI110" s="62" t="n">
        <v>0.1</v>
      </c>
      <c r="AJ110" s="37" t="s">
        <v>448</v>
      </c>
      <c r="AK110" s="37" t="n">
        <f aca="false">SUM(Table1[[#This Row],[reported_1302]:[reported_1286_iso]])</f>
        <v>1</v>
      </c>
      <c r="AL110" s="64" t="n">
        <v>0.140728476821192</v>
      </c>
      <c r="AM110" s="64" t="n">
        <v>0.0894039735099339</v>
      </c>
      <c r="AN110" s="64" t="n">
        <v>0.107615894039735</v>
      </c>
      <c r="AO110" s="64" t="n">
        <v>0.0695364238410596</v>
      </c>
      <c r="AP110" s="64" t="n">
        <v>0.59271523178808</v>
      </c>
      <c r="AQ110" s="64" t="n">
        <v>0</v>
      </c>
      <c r="AR110" s="64"/>
      <c r="AS110" s="64"/>
      <c r="AT110" s="64"/>
      <c r="AU110" s="64"/>
      <c r="AV110" s="64"/>
      <c r="AW110" s="64"/>
      <c r="AX110" s="64"/>
      <c r="AY110" s="64"/>
      <c r="AZ110" s="64"/>
      <c r="BA110" s="64" t="n">
        <f aca="false">AL110/SUM($AL110:$AQ110)</f>
        <v>0.140728476821192</v>
      </c>
      <c r="BB110" s="64" t="n">
        <f aca="false">AM110/SUM($AL110:$AQ110)</f>
        <v>0.0894039735099339</v>
      </c>
      <c r="BC110" s="64" t="n">
        <f aca="false">AN110/SUM($AL110:$AQ110)</f>
        <v>0.107615894039735</v>
      </c>
      <c r="BD110" s="64" t="n">
        <f aca="false">AO110/SUM($AL110:$AQ110)</f>
        <v>0.0695364238410596</v>
      </c>
      <c r="BE110" s="64" t="n">
        <f aca="false">AP110/SUM($AL110:$AQ110)</f>
        <v>0.59271523178808</v>
      </c>
      <c r="BF110" s="64" t="n">
        <f aca="false">AQ110/SUM($AL110:$AQ110)</f>
        <v>0</v>
      </c>
      <c r="BG110" s="65" t="e">
        <f aca="false">#N/A</f>
        <v>#N/A</v>
      </c>
      <c r="BH110" s="37" t="s">
        <v>393</v>
      </c>
      <c r="BI110" s="37" t="s">
        <v>463</v>
      </c>
      <c r="BJ110" s="37" t="s">
        <v>714</v>
      </c>
      <c r="BK110" s="40" t="s">
        <v>8</v>
      </c>
      <c r="BL110" s="37" t="s">
        <v>715</v>
      </c>
      <c r="BM110" s="37" t="s">
        <v>397</v>
      </c>
      <c r="BN110" s="37" t="s">
        <v>397</v>
      </c>
      <c r="BO110" s="37" t="s">
        <v>595</v>
      </c>
      <c r="BP110" s="37" t="s">
        <v>397</v>
      </c>
      <c r="BQ110" s="37" t="s">
        <v>397</v>
      </c>
      <c r="BR110" s="37"/>
      <c r="BS110" s="37"/>
      <c r="BT110" s="37" t="s">
        <v>716</v>
      </c>
      <c r="BU110" s="37" t="s">
        <v>717</v>
      </c>
      <c r="BV110" s="37" t="s">
        <v>718</v>
      </c>
      <c r="BW110" s="37" t="s">
        <v>402</v>
      </c>
    </row>
    <row r="111" customFormat="false" ht="28.35" hidden="false" customHeight="false" outlineLevel="0" collapsed="false">
      <c r="A111" s="37" t="s">
        <v>719</v>
      </c>
      <c r="B111" s="62" t="s">
        <v>173</v>
      </c>
      <c r="C111" s="37" t="s">
        <v>172</v>
      </c>
      <c r="D111" s="37" t="n">
        <f aca="false">INDEX(Strain_IDs!C:C,MATCH(Table1[[#This Row],[Strains]],Strain_IDs!D:D,0))</f>
        <v>11</v>
      </c>
      <c r="E111" s="37" t="s">
        <v>382</v>
      </c>
      <c r="F111" s="37" t="s">
        <v>20</v>
      </c>
      <c r="G111" s="37" t="s">
        <v>21</v>
      </c>
      <c r="H111" s="37" t="s">
        <v>27</v>
      </c>
      <c r="I111" s="37" t="s">
        <v>720</v>
      </c>
      <c r="J111" s="37"/>
      <c r="K111" s="37" t="s">
        <v>384</v>
      </c>
      <c r="L111" s="37" t="s">
        <v>20</v>
      </c>
      <c r="M111" s="37" t="s">
        <v>721</v>
      </c>
      <c r="N111" s="37" t="s">
        <v>25</v>
      </c>
      <c r="O111" s="37" t="s">
        <v>720</v>
      </c>
      <c r="P111" s="37"/>
      <c r="Q111" s="37" t="s">
        <v>456</v>
      </c>
      <c r="R111" s="37" t="s">
        <v>62</v>
      </c>
      <c r="S111" s="37" t="s">
        <v>63</v>
      </c>
      <c r="T111" s="37" t="s">
        <v>387</v>
      </c>
      <c r="U111" s="37"/>
      <c r="V111" s="37"/>
      <c r="W111" s="37" t="s">
        <v>722</v>
      </c>
      <c r="X111" s="37" t="n">
        <v>10</v>
      </c>
      <c r="Y111" s="37"/>
      <c r="Z111" s="37"/>
      <c r="AA111" s="37"/>
      <c r="AB111" s="37"/>
      <c r="AC111" s="37"/>
      <c r="AD111" s="37"/>
      <c r="AE111" s="37"/>
      <c r="AF111" s="37" t="s">
        <v>389</v>
      </c>
      <c r="AG111" s="62" t="s">
        <v>446</v>
      </c>
      <c r="AH111" s="63" t="s">
        <v>723</v>
      </c>
      <c r="AI111" s="62"/>
      <c r="AJ111" s="37" t="s">
        <v>448</v>
      </c>
      <c r="AK111" s="37" t="n">
        <f aca="false">SUM(Table1[[#This Row],[reported_1302]:[reported_1286_iso]])</f>
        <v>100</v>
      </c>
      <c r="AL111" s="64" t="n">
        <v>28</v>
      </c>
      <c r="AM111" s="64" t="n">
        <v>14</v>
      </c>
      <c r="AN111" s="64" t="n">
        <v>2</v>
      </c>
      <c r="AO111" s="64" t="n">
        <v>0</v>
      </c>
      <c r="AP111" s="64" t="n">
        <v>56</v>
      </c>
      <c r="AQ111" s="64" t="n">
        <v>0</v>
      </c>
      <c r="AR111" s="64" t="n">
        <v>0</v>
      </c>
      <c r="AS111" s="64"/>
      <c r="AT111" s="64"/>
      <c r="AU111" s="64"/>
      <c r="AV111" s="64"/>
      <c r="AW111" s="64"/>
      <c r="AX111" s="64"/>
      <c r="AY111" s="64"/>
      <c r="AZ111" s="64"/>
      <c r="BA111" s="64" t="n">
        <f aca="false">AL111/SUM($AL111:$AQ111)</f>
        <v>0.28</v>
      </c>
      <c r="BB111" s="64" t="n">
        <f aca="false">AM111/SUM($AL111:$AQ111)</f>
        <v>0.14</v>
      </c>
      <c r="BC111" s="64" t="n">
        <f aca="false">AN111/SUM($AL111:$AQ111)</f>
        <v>0.02</v>
      </c>
      <c r="BD111" s="64" t="n">
        <f aca="false">AO111/SUM($AL111:$AQ111)</f>
        <v>0</v>
      </c>
      <c r="BE111" s="64" t="n">
        <f aca="false">AP111/SUM($AL111:$AQ111)</f>
        <v>0.56</v>
      </c>
      <c r="BF111" s="64" t="n">
        <f aca="false">AQ111/SUM($AL111:$AQ111)</f>
        <v>0</v>
      </c>
      <c r="BG111" s="65" t="e">
        <f aca="false">#N/A</f>
        <v>#N/A</v>
      </c>
      <c r="BH111" s="37" t="s">
        <v>393</v>
      </c>
      <c r="BI111" s="37" t="s">
        <v>463</v>
      </c>
      <c r="BJ111" s="37" t="s">
        <v>724</v>
      </c>
      <c r="BK111" s="40" t="s">
        <v>725</v>
      </c>
      <c r="BL111" s="40" t="s">
        <v>725</v>
      </c>
      <c r="BM111" s="37" t="s">
        <v>397</v>
      </c>
      <c r="BN111" s="37" t="s">
        <v>397</v>
      </c>
      <c r="BO111" s="37" t="s">
        <v>595</v>
      </c>
      <c r="BP111" s="37" t="s">
        <v>397</v>
      </c>
      <c r="BQ111" s="37" t="s">
        <v>397</v>
      </c>
      <c r="BR111" s="37"/>
      <c r="BS111" s="37"/>
      <c r="BT111" s="37" t="s">
        <v>180</v>
      </c>
      <c r="BU111" s="37" t="s">
        <v>705</v>
      </c>
      <c r="BV111" s="37" t="s">
        <v>181</v>
      </c>
      <c r="BW111" s="37" t="s">
        <v>402</v>
      </c>
    </row>
    <row r="112" customFormat="false" ht="14.9" hidden="false" customHeight="false" outlineLevel="0" collapsed="false">
      <c r="A112" s="37" t="s">
        <v>726</v>
      </c>
      <c r="B112" s="62" t="s">
        <v>156</v>
      </c>
      <c r="C112" s="37" t="s">
        <v>700</v>
      </c>
      <c r="D112" s="37" t="n">
        <f aca="false">INDEX(Strain_IDs!C:C,MATCH(Table1[[#This Row],[Strains]],Strain_IDs!D:D,0))</f>
        <v>9</v>
      </c>
      <c r="E112" s="37" t="s">
        <v>382</v>
      </c>
      <c r="F112" s="37" t="s">
        <v>20</v>
      </c>
      <c r="G112" s="37" t="s">
        <v>21</v>
      </c>
      <c r="H112" s="37" t="s">
        <v>27</v>
      </c>
      <c r="I112" s="37" t="s">
        <v>686</v>
      </c>
      <c r="J112" s="37" t="s">
        <v>701</v>
      </c>
      <c r="K112" s="37" t="s">
        <v>384</v>
      </c>
      <c r="L112" s="37" t="s">
        <v>20</v>
      </c>
      <c r="M112" s="37" t="s">
        <v>385</v>
      </c>
      <c r="N112" s="37" t="s">
        <v>27</v>
      </c>
      <c r="O112" s="37" t="s">
        <v>686</v>
      </c>
      <c r="P112" s="37" t="s">
        <v>701</v>
      </c>
      <c r="Q112" s="37" t="s">
        <v>702</v>
      </c>
      <c r="R112" s="37" t="s">
        <v>62</v>
      </c>
      <c r="S112" s="37" t="s">
        <v>63</v>
      </c>
      <c r="T112" s="37" t="s">
        <v>387</v>
      </c>
      <c r="U112" s="37"/>
      <c r="V112" s="37"/>
      <c r="W112" s="37" t="s">
        <v>727</v>
      </c>
      <c r="X112" s="37" t="n">
        <v>25</v>
      </c>
      <c r="Y112" s="37"/>
      <c r="Z112" s="37" t="n">
        <v>6.9</v>
      </c>
      <c r="AA112" s="37"/>
      <c r="AB112" s="37"/>
      <c r="AC112" s="37"/>
      <c r="AD112" s="37"/>
      <c r="AE112" s="37"/>
      <c r="AF112" s="37" t="s">
        <v>389</v>
      </c>
      <c r="AG112" s="62" t="s">
        <v>446</v>
      </c>
      <c r="AH112" s="63" t="s">
        <v>461</v>
      </c>
      <c r="AI112" s="62"/>
      <c r="AJ112" s="37" t="s">
        <v>448</v>
      </c>
      <c r="AK112" s="37" t="n">
        <f aca="false">SUM(Table1[[#This Row],[reported_1302]:[reported_1286_iso]])</f>
        <v>88</v>
      </c>
      <c r="AL112" s="64" t="n">
        <v>4</v>
      </c>
      <c r="AM112" s="64" t="n">
        <v>16</v>
      </c>
      <c r="AN112" s="64" t="n">
        <v>16</v>
      </c>
      <c r="AO112" s="64" t="n">
        <v>7.6</v>
      </c>
      <c r="AP112" s="64" t="n">
        <v>36</v>
      </c>
      <c r="AQ112" s="64" t="n">
        <v>1.1</v>
      </c>
      <c r="AR112" s="64" t="n">
        <v>7.3</v>
      </c>
      <c r="AS112" s="64"/>
      <c r="AT112" s="64"/>
      <c r="AU112" s="64"/>
      <c r="AV112" s="64"/>
      <c r="AW112" s="64"/>
      <c r="AX112" s="64"/>
      <c r="AY112" s="64"/>
      <c r="AZ112" s="64"/>
      <c r="BA112" s="64" t="n">
        <f aca="false">AL112/SUM($AL112:$AQ112)</f>
        <v>0.0495662949194548</v>
      </c>
      <c r="BB112" s="64" t="n">
        <f aca="false">AM112/SUM($AL112:$AQ112)</f>
        <v>0.198265179677819</v>
      </c>
      <c r="BC112" s="64" t="n">
        <f aca="false">AN112/SUM($AL112:$AQ112)</f>
        <v>0.198265179677819</v>
      </c>
      <c r="BD112" s="64" t="n">
        <f aca="false">AO112/SUM($AL112:$AQ112)</f>
        <v>0.0941759603469641</v>
      </c>
      <c r="BE112" s="64" t="n">
        <f aca="false">AP112/SUM($AL112:$AQ112)</f>
        <v>0.446096654275093</v>
      </c>
      <c r="BF112" s="64" t="n">
        <f aca="false">AQ112/SUM($AL112:$AQ112)</f>
        <v>0.0136307311028501</v>
      </c>
      <c r="BG112" s="65" t="e">
        <f aca="false">#N/A</f>
        <v>#N/A</v>
      </c>
      <c r="BH112" s="37" t="s">
        <v>393</v>
      </c>
      <c r="BI112" s="37" t="s">
        <v>463</v>
      </c>
      <c r="BJ112" s="37" t="s">
        <v>728</v>
      </c>
      <c r="BK112" s="40" t="s">
        <v>725</v>
      </c>
      <c r="BL112" s="37" t="s">
        <v>729</v>
      </c>
      <c r="BM112" s="37" t="s">
        <v>397</v>
      </c>
      <c r="BN112" s="37" t="s">
        <v>397</v>
      </c>
      <c r="BO112" s="37" t="s">
        <v>595</v>
      </c>
      <c r="BP112" s="37" t="s">
        <v>397</v>
      </c>
      <c r="BQ112" s="37" t="s">
        <v>399</v>
      </c>
      <c r="BR112" s="37"/>
      <c r="BS112" s="37"/>
      <c r="BT112" s="37" t="s">
        <v>160</v>
      </c>
      <c r="BU112" s="37" t="s">
        <v>730</v>
      </c>
      <c r="BV112" s="37" t="s">
        <v>161</v>
      </c>
      <c r="BW112" s="37" t="s">
        <v>402</v>
      </c>
    </row>
    <row r="113" customFormat="false" ht="14.9" hidden="false" customHeight="false" outlineLevel="0" collapsed="false">
      <c r="A113" s="37" t="s">
        <v>731</v>
      </c>
      <c r="B113" s="62" t="s">
        <v>197</v>
      </c>
      <c r="C113" s="37" t="s">
        <v>196</v>
      </c>
      <c r="D113" s="37" t="n">
        <f aca="false">INDEX(Strain_IDs!C:C,MATCH(Table1[[#This Row],[Strains]],Strain_IDs!D:D,0))</f>
        <v>14</v>
      </c>
      <c r="E113" s="37" t="s">
        <v>382</v>
      </c>
      <c r="F113" s="37" t="s">
        <v>20</v>
      </c>
      <c r="G113" s="37" t="s">
        <v>21</v>
      </c>
      <c r="H113" s="37" t="s">
        <v>27</v>
      </c>
      <c r="I113" s="37" t="s">
        <v>383</v>
      </c>
      <c r="J113" s="37"/>
      <c r="K113" s="37" t="s">
        <v>384</v>
      </c>
      <c r="L113" s="37" t="s">
        <v>732</v>
      </c>
      <c r="M113" s="37" t="s">
        <v>733</v>
      </c>
      <c r="N113" s="37" t="s">
        <v>19</v>
      </c>
      <c r="O113" s="37" t="s">
        <v>383</v>
      </c>
      <c r="P113" s="37"/>
      <c r="Q113" s="37" t="s">
        <v>702</v>
      </c>
      <c r="R113" s="37" t="s">
        <v>62</v>
      </c>
      <c r="S113" s="37" t="s">
        <v>63</v>
      </c>
      <c r="T113" s="37" t="s">
        <v>387</v>
      </c>
      <c r="U113" s="37"/>
      <c r="V113" s="37"/>
      <c r="W113" s="37" t="s">
        <v>734</v>
      </c>
      <c r="X113" s="37" t="n">
        <v>25</v>
      </c>
      <c r="Y113" s="37"/>
      <c r="Z113" s="37"/>
      <c r="AA113" s="37"/>
      <c r="AB113" s="37"/>
      <c r="AC113" s="37"/>
      <c r="AD113" s="37"/>
      <c r="AE113" s="37"/>
      <c r="AF113" s="37" t="s">
        <v>389</v>
      </c>
      <c r="AG113" s="62" t="s">
        <v>446</v>
      </c>
      <c r="AH113" s="63" t="s">
        <v>461</v>
      </c>
      <c r="AI113" s="62"/>
      <c r="AJ113" s="37" t="s">
        <v>448</v>
      </c>
      <c r="AK113" s="37" t="n">
        <f aca="false">SUM(Table1[[#This Row],[reported_1302]:[reported_1286_iso]])</f>
        <v>100</v>
      </c>
      <c r="AL113" s="64" t="n">
        <v>25</v>
      </c>
      <c r="AM113" s="64" t="n">
        <v>28</v>
      </c>
      <c r="AN113" s="64" t="n">
        <v>7.5</v>
      </c>
      <c r="AO113" s="64" t="n">
        <v>5.1</v>
      </c>
      <c r="AP113" s="64" t="n">
        <v>33</v>
      </c>
      <c r="AQ113" s="64" t="n">
        <v>0.6</v>
      </c>
      <c r="AR113" s="64" t="n">
        <v>0.8</v>
      </c>
      <c r="AS113" s="64"/>
      <c r="AT113" s="64"/>
      <c r="AU113" s="64"/>
      <c r="AV113" s="64"/>
      <c r="AW113" s="64"/>
      <c r="AX113" s="64"/>
      <c r="AY113" s="64"/>
      <c r="AZ113" s="64"/>
      <c r="BA113" s="64" t="n">
        <f aca="false">AL113/SUM($AL113:$AQ113)</f>
        <v>0.252016129032258</v>
      </c>
      <c r="BB113" s="64" t="n">
        <f aca="false">AM113/SUM($AL113:$AQ113)</f>
        <v>0.282258064516129</v>
      </c>
      <c r="BC113" s="64" t="n">
        <f aca="false">AN113/SUM($AL113:$AQ113)</f>
        <v>0.0756048387096774</v>
      </c>
      <c r="BD113" s="64" t="n">
        <f aca="false">AO113/SUM($AL113:$AQ113)</f>
        <v>0.0514112903225806</v>
      </c>
      <c r="BE113" s="64" t="n">
        <f aca="false">AP113/SUM($AL113:$AQ113)</f>
        <v>0.332661290322581</v>
      </c>
      <c r="BF113" s="64" t="n">
        <f aca="false">AQ113/SUM($AL113:$AQ113)</f>
        <v>0.00604838709677419</v>
      </c>
      <c r="BG113" s="65" t="e">
        <f aca="false">#N/A</f>
        <v>#N/A</v>
      </c>
      <c r="BH113" s="37" t="s">
        <v>393</v>
      </c>
      <c r="BI113" s="37" t="s">
        <v>463</v>
      </c>
      <c r="BJ113" s="37" t="s">
        <v>735</v>
      </c>
      <c r="BK113" s="40" t="s">
        <v>725</v>
      </c>
      <c r="BL113" s="37" t="s">
        <v>736</v>
      </c>
      <c r="BM113" s="37" t="s">
        <v>397</v>
      </c>
      <c r="BN113" s="37" t="s">
        <v>397</v>
      </c>
      <c r="BO113" s="37" t="s">
        <v>595</v>
      </c>
      <c r="BP113" s="37" t="s">
        <v>397</v>
      </c>
      <c r="BQ113" s="37" t="s">
        <v>399</v>
      </c>
      <c r="BR113" s="37"/>
      <c r="BS113" s="37"/>
      <c r="BT113" s="37" t="s">
        <v>201</v>
      </c>
      <c r="BU113" s="37" t="s">
        <v>730</v>
      </c>
      <c r="BV113" s="37" t="s">
        <v>202</v>
      </c>
      <c r="BW113" s="37" t="s">
        <v>402</v>
      </c>
    </row>
    <row r="114" customFormat="false" ht="14.9" hidden="false" customHeight="false" outlineLevel="0" collapsed="false">
      <c r="A114" s="37" t="s">
        <v>737</v>
      </c>
      <c r="B114" s="62" t="s">
        <v>225</v>
      </c>
      <c r="C114" s="37" t="s">
        <v>224</v>
      </c>
      <c r="D114" s="37" t="n">
        <f aca="false">INDEX(Strain_IDs!C:C,MATCH(Table1[[#This Row],[Strains]],Strain_IDs!D:D,0))</f>
        <v>17</v>
      </c>
      <c r="E114" s="37" t="s">
        <v>382</v>
      </c>
      <c r="F114" s="37" t="s">
        <v>20</v>
      </c>
      <c r="G114" s="37" t="s">
        <v>21</v>
      </c>
      <c r="H114" s="37" t="s">
        <v>28</v>
      </c>
      <c r="I114" s="37" t="s">
        <v>738</v>
      </c>
      <c r="J114" s="37"/>
      <c r="K114" s="37" t="s">
        <v>384</v>
      </c>
      <c r="L114" s="37" t="s">
        <v>20</v>
      </c>
      <c r="M114" s="37" t="s">
        <v>21</v>
      </c>
      <c r="N114" s="37" t="s">
        <v>28</v>
      </c>
      <c r="O114" s="37" t="s">
        <v>738</v>
      </c>
      <c r="P114" s="37"/>
      <c r="Q114" s="37" t="s">
        <v>739</v>
      </c>
      <c r="R114" s="37" t="s">
        <v>207</v>
      </c>
      <c r="S114" s="37" t="s">
        <v>208</v>
      </c>
      <c r="T114" s="37" t="s">
        <v>387</v>
      </c>
      <c r="U114" s="37"/>
      <c r="V114" s="37"/>
      <c r="W114" s="37" t="s">
        <v>740</v>
      </c>
      <c r="X114" s="37" t="n">
        <v>30</v>
      </c>
      <c r="Y114" s="37"/>
      <c r="Z114" s="37" t="n">
        <v>6.8</v>
      </c>
      <c r="AB114" s="37"/>
      <c r="AC114" s="37"/>
      <c r="AD114" s="37"/>
      <c r="AE114" s="37"/>
      <c r="AF114" s="37" t="s">
        <v>389</v>
      </c>
      <c r="AG114" s="62" t="s">
        <v>446</v>
      </c>
      <c r="AH114" s="63" t="s">
        <v>461</v>
      </c>
      <c r="AI114" s="62"/>
      <c r="AJ114" s="37" t="s">
        <v>741</v>
      </c>
      <c r="AK114" s="37" t="n">
        <f aca="false">SUM(Table1[[#This Row],[reported_1302]:[reported_1286_iso]])</f>
        <v>100</v>
      </c>
      <c r="AL114" s="64" t="n">
        <v>25</v>
      </c>
      <c r="AM114" s="64" t="n">
        <v>28</v>
      </c>
      <c r="AN114" s="64" t="n">
        <v>7.5</v>
      </c>
      <c r="AO114" s="64" t="n">
        <v>5.1</v>
      </c>
      <c r="AP114" s="64" t="n">
        <v>33</v>
      </c>
      <c r="AQ114" s="64" t="n">
        <v>0.6</v>
      </c>
      <c r="AR114" s="64" t="n">
        <v>0.8</v>
      </c>
      <c r="AS114" s="64"/>
      <c r="AT114" s="64"/>
      <c r="AU114" s="64"/>
      <c r="AV114" s="64"/>
      <c r="AW114" s="64"/>
      <c r="AX114" s="64"/>
      <c r="AY114" s="64"/>
      <c r="AZ114" s="64"/>
      <c r="BA114" s="64" t="n">
        <f aca="false">AL114/SUM($AL114:$AQ114)</f>
        <v>0.252016129032258</v>
      </c>
      <c r="BB114" s="64" t="n">
        <f aca="false">AM114/SUM($AL114:$AQ114)</f>
        <v>0.282258064516129</v>
      </c>
      <c r="BC114" s="64" t="n">
        <f aca="false">AN114/SUM($AL114:$AQ114)</f>
        <v>0.0756048387096774</v>
      </c>
      <c r="BD114" s="64" t="n">
        <f aca="false">AO114/SUM($AL114:$AQ114)</f>
        <v>0.0514112903225806</v>
      </c>
      <c r="BE114" s="64" t="n">
        <f aca="false">AP114/SUM($AL114:$AQ114)</f>
        <v>0.332661290322581</v>
      </c>
      <c r="BF114" s="64" t="n">
        <f aca="false">AQ114/SUM($AL114:$AQ114)</f>
        <v>0.00604838709677419</v>
      </c>
      <c r="BG114" s="65" t="e">
        <f aca="false">#N/A</f>
        <v>#N/A</v>
      </c>
      <c r="BH114" s="37" t="s">
        <v>393</v>
      </c>
      <c r="BI114" s="37" t="s">
        <v>463</v>
      </c>
      <c r="BJ114" s="37" t="s">
        <v>742</v>
      </c>
      <c r="BK114" s="40" t="s">
        <v>725</v>
      </c>
      <c r="BL114" s="40" t="s">
        <v>743</v>
      </c>
      <c r="BM114" s="37" t="s">
        <v>397</v>
      </c>
      <c r="BN114" s="37" t="s">
        <v>397</v>
      </c>
      <c r="BO114" s="37" t="s">
        <v>595</v>
      </c>
      <c r="BP114" s="37" t="s">
        <v>397</v>
      </c>
      <c r="BQ114" s="37" t="s">
        <v>399</v>
      </c>
      <c r="BR114" s="37"/>
      <c r="BS114" s="37"/>
      <c r="BT114" s="37" t="s">
        <v>229</v>
      </c>
      <c r="BU114" s="37" t="s">
        <v>730</v>
      </c>
      <c r="BV114" s="37" t="s">
        <v>230</v>
      </c>
      <c r="BW114" s="37" t="s">
        <v>402</v>
      </c>
    </row>
    <row r="115" customFormat="false" ht="14.9" hidden="false" customHeight="false" outlineLevel="0" collapsed="false">
      <c r="A115" s="37" t="s">
        <v>744</v>
      </c>
      <c r="B115" s="62" t="s">
        <v>313</v>
      </c>
      <c r="C115" s="37" t="s">
        <v>745</v>
      </c>
      <c r="D115" s="37" t="n">
        <f aca="false">INDEX(Strain_IDs!C:C,MATCH(Table1[[#This Row],[Strains]],Strain_IDs!D:D,0))</f>
        <v>25.1</v>
      </c>
      <c r="E115" s="37" t="s">
        <v>382</v>
      </c>
      <c r="F115" s="37" t="s">
        <v>23</v>
      </c>
      <c r="G115" s="37" t="s">
        <v>24</v>
      </c>
      <c r="H115" s="37" t="s">
        <v>22</v>
      </c>
      <c r="I115" s="37" t="s">
        <v>557</v>
      </c>
      <c r="J115" s="37" t="s">
        <v>746</v>
      </c>
      <c r="K115" s="37" t="s">
        <v>382</v>
      </c>
      <c r="L115" s="37" t="s">
        <v>34</v>
      </c>
      <c r="M115" s="37" t="s">
        <v>559</v>
      </c>
      <c r="N115" s="37" t="s">
        <v>22</v>
      </c>
      <c r="O115" s="37" t="s">
        <v>557</v>
      </c>
      <c r="P115" s="37" t="s">
        <v>747</v>
      </c>
      <c r="Q115" s="37" t="s">
        <v>748</v>
      </c>
      <c r="R115" s="37" t="s">
        <v>270</v>
      </c>
      <c r="S115" s="37" t="s">
        <v>270</v>
      </c>
      <c r="T115" s="37" t="s">
        <v>387</v>
      </c>
      <c r="U115" s="37"/>
      <c r="V115" s="37" t="s">
        <v>749</v>
      </c>
      <c r="W115" s="37" t="s">
        <v>750</v>
      </c>
      <c r="X115" s="37" t="n">
        <v>65</v>
      </c>
      <c r="Y115" s="37"/>
      <c r="Z115" s="37" t="n">
        <v>3</v>
      </c>
      <c r="AB115" s="37"/>
      <c r="AC115" s="37" t="n">
        <v>44.9</v>
      </c>
      <c r="AD115" s="37"/>
      <c r="AE115" s="37"/>
      <c r="AF115" s="37" t="s">
        <v>389</v>
      </c>
      <c r="AG115" s="62" t="s">
        <v>446</v>
      </c>
      <c r="AH115" s="63"/>
      <c r="AI115" s="62"/>
      <c r="AJ115" s="37" t="s">
        <v>607</v>
      </c>
      <c r="AK115" s="37" t="n">
        <f aca="false">SUM(Table1[[#This Row],[reported_1302]:[reported_1286_iso]])</f>
        <v>100</v>
      </c>
      <c r="AL115" s="64" t="n">
        <v>1.6</v>
      </c>
      <c r="AM115" s="64" t="n">
        <v>0.3</v>
      </c>
      <c r="AN115" s="64" t="n">
        <v>0.8</v>
      </c>
      <c r="AO115" s="64" t="n">
        <v>1.1</v>
      </c>
      <c r="AP115" s="64" t="n">
        <v>40</v>
      </c>
      <c r="AQ115" s="64" t="n">
        <v>0.6</v>
      </c>
      <c r="AR115" s="64" t="n">
        <v>16</v>
      </c>
      <c r="AS115" s="64" t="n">
        <v>38.5</v>
      </c>
      <c r="AT115" s="64" t="n">
        <v>0.5</v>
      </c>
      <c r="AU115" s="64"/>
      <c r="AV115" s="64"/>
      <c r="AW115" s="64" t="n">
        <v>0.6</v>
      </c>
      <c r="AX115" s="64"/>
      <c r="AY115" s="64"/>
      <c r="AZ115" s="64"/>
      <c r="BA115" s="64" t="n">
        <f aca="false">AL115/SUM($AL115:$AQ115)</f>
        <v>0.036036036036036</v>
      </c>
      <c r="BB115" s="64" t="n">
        <f aca="false">AM115/SUM($AL115:$AQ115)</f>
        <v>0.00675675675675676</v>
      </c>
      <c r="BC115" s="64" t="n">
        <f aca="false">AN115/SUM($AL115:$AQ115)</f>
        <v>0.018018018018018</v>
      </c>
      <c r="BD115" s="64" t="n">
        <f aca="false">AO115/SUM($AL115:$AQ115)</f>
        <v>0.0247747747747748</v>
      </c>
      <c r="BE115" s="64" t="n">
        <f aca="false">AP115/SUM($AL115:$AQ115)</f>
        <v>0.900900900900901</v>
      </c>
      <c r="BF115" s="64" t="n">
        <f aca="false">AQ115/SUM($AL115:$AQ115)</f>
        <v>0.0135135135135135</v>
      </c>
      <c r="BG115" s="65" t="e">
        <f aca="false">#N/A</f>
        <v>#N/A</v>
      </c>
      <c r="BH115" s="37" t="s">
        <v>393</v>
      </c>
      <c r="BI115" s="37" t="s">
        <v>564</v>
      </c>
      <c r="BJ115" s="37" t="s">
        <v>751</v>
      </c>
      <c r="BK115" s="40" t="s">
        <v>4</v>
      </c>
      <c r="BL115" s="40" t="s">
        <v>4</v>
      </c>
      <c r="BM115" s="37" t="s">
        <v>397</v>
      </c>
      <c r="BN115" s="37" t="s">
        <v>397</v>
      </c>
      <c r="BO115" s="37" t="s">
        <v>595</v>
      </c>
      <c r="BP115" s="37" t="s">
        <v>397</v>
      </c>
      <c r="BQ115" s="37" t="s">
        <v>397</v>
      </c>
      <c r="BR115" s="37"/>
      <c r="BS115" s="37"/>
      <c r="BT115" s="37" t="s">
        <v>316</v>
      </c>
      <c r="BU115" s="37" t="s">
        <v>752</v>
      </c>
      <c r="BV115" s="37" t="s">
        <v>317</v>
      </c>
      <c r="BW115" s="37" t="s">
        <v>402</v>
      </c>
    </row>
    <row r="116" customFormat="false" ht="14.9" hidden="false" customHeight="false" outlineLevel="0" collapsed="false">
      <c r="A116" s="37" t="s">
        <v>753</v>
      </c>
      <c r="B116" s="62" t="s">
        <v>313</v>
      </c>
      <c r="C116" s="37" t="s">
        <v>745</v>
      </c>
      <c r="D116" s="37" t="n">
        <f aca="false">INDEX(Strain_IDs!C:C,MATCH(Table1[[#This Row],[Strains]],Strain_IDs!D:D,0))</f>
        <v>25.1</v>
      </c>
      <c r="E116" s="37" t="s">
        <v>382</v>
      </c>
      <c r="F116" s="37" t="s">
        <v>23</v>
      </c>
      <c r="G116" s="37" t="s">
        <v>24</v>
      </c>
      <c r="H116" s="37" t="s">
        <v>22</v>
      </c>
      <c r="I116" s="37" t="s">
        <v>557</v>
      </c>
      <c r="J116" s="37" t="s">
        <v>746</v>
      </c>
      <c r="K116" s="37" t="s">
        <v>382</v>
      </c>
      <c r="L116" s="37" t="s">
        <v>34</v>
      </c>
      <c r="M116" s="37" t="s">
        <v>559</v>
      </c>
      <c r="N116" s="37" t="s">
        <v>22</v>
      </c>
      <c r="O116" s="37" t="s">
        <v>557</v>
      </c>
      <c r="P116" s="37" t="s">
        <v>747</v>
      </c>
      <c r="Q116" s="37" t="s">
        <v>748</v>
      </c>
      <c r="R116" s="37" t="s">
        <v>270</v>
      </c>
      <c r="S116" s="37" t="s">
        <v>270</v>
      </c>
      <c r="T116" s="37" t="s">
        <v>387</v>
      </c>
      <c r="U116" s="37"/>
      <c r="V116" s="37" t="s">
        <v>749</v>
      </c>
      <c r="W116" s="37" t="s">
        <v>754</v>
      </c>
      <c r="X116" s="37" t="n">
        <v>70</v>
      </c>
      <c r="Y116" s="37"/>
      <c r="Z116" s="37" t="n">
        <v>3</v>
      </c>
      <c r="AB116" s="37"/>
      <c r="AC116" s="37" t="n">
        <v>44.9</v>
      </c>
      <c r="AD116" s="37"/>
      <c r="AE116" s="37"/>
      <c r="AF116" s="37" t="s">
        <v>389</v>
      </c>
      <c r="AG116" s="62" t="s">
        <v>446</v>
      </c>
      <c r="AH116" s="63"/>
      <c r="AI116" s="62"/>
      <c r="AJ116" s="37" t="s">
        <v>607</v>
      </c>
      <c r="AK116" s="37" t="n">
        <f aca="false">SUM(Table1[[#This Row],[reported_1302]:[reported_1286_iso]])</f>
        <v>99.9</v>
      </c>
      <c r="AL116" s="64" t="n">
        <v>2.8</v>
      </c>
      <c r="AM116" s="64" t="n">
        <v>1.2</v>
      </c>
      <c r="AN116" s="64" t="n">
        <v>1</v>
      </c>
      <c r="AO116" s="64" t="n">
        <v>1.2</v>
      </c>
      <c r="AP116" s="64" t="n">
        <v>33.6</v>
      </c>
      <c r="AQ116" s="64" t="n">
        <v>1.2</v>
      </c>
      <c r="AR116" s="64" t="n">
        <v>13.1</v>
      </c>
      <c r="AS116" s="64" t="n">
        <v>40.4</v>
      </c>
      <c r="AT116" s="64" t="n">
        <v>0.7</v>
      </c>
      <c r="AU116" s="64"/>
      <c r="AV116" s="64"/>
      <c r="AW116" s="64" t="n">
        <v>4.7</v>
      </c>
      <c r="AX116" s="64"/>
      <c r="AY116" s="64"/>
      <c r="AZ116" s="64"/>
      <c r="BA116" s="64" t="n">
        <f aca="false">AL116/SUM($AL116:$AQ116)</f>
        <v>0.0682926829268293</v>
      </c>
      <c r="BB116" s="64" t="n">
        <f aca="false">AM116/SUM($AL116:$AQ116)</f>
        <v>0.0292682926829268</v>
      </c>
      <c r="BC116" s="64" t="n">
        <f aca="false">AN116/SUM($AL116:$AQ116)</f>
        <v>0.024390243902439</v>
      </c>
      <c r="BD116" s="64" t="n">
        <f aca="false">AO116/SUM($AL116:$AQ116)</f>
        <v>0.0292682926829268</v>
      </c>
      <c r="BE116" s="64" t="n">
        <f aca="false">AP116/SUM($AL116:$AQ116)</f>
        <v>0.819512195121951</v>
      </c>
      <c r="BF116" s="64" t="n">
        <f aca="false">AQ116/SUM($AL116:$AQ116)</f>
        <v>0.0292682926829268</v>
      </c>
      <c r="BG116" s="65" t="e">
        <f aca="false">#N/A</f>
        <v>#N/A</v>
      </c>
      <c r="BH116" s="37" t="s">
        <v>393</v>
      </c>
      <c r="BI116" s="37" t="s">
        <v>564</v>
      </c>
      <c r="BJ116" s="37" t="s">
        <v>751</v>
      </c>
      <c r="BK116" s="40" t="s">
        <v>4</v>
      </c>
      <c r="BL116" s="40" t="s">
        <v>4</v>
      </c>
      <c r="BM116" s="37" t="s">
        <v>397</v>
      </c>
      <c r="BN116" s="37" t="s">
        <v>397</v>
      </c>
      <c r="BO116" s="37" t="s">
        <v>595</v>
      </c>
      <c r="BP116" s="37" t="s">
        <v>397</v>
      </c>
      <c r="BQ116" s="37" t="s">
        <v>397</v>
      </c>
      <c r="BR116" s="37"/>
      <c r="BS116" s="37"/>
      <c r="BT116" s="37" t="s">
        <v>316</v>
      </c>
      <c r="BU116" s="37" t="s">
        <v>752</v>
      </c>
      <c r="BV116" s="37" t="s">
        <v>317</v>
      </c>
      <c r="BW116" s="37" t="s">
        <v>402</v>
      </c>
    </row>
    <row r="117" customFormat="false" ht="14.9" hidden="false" customHeight="false" outlineLevel="0" collapsed="false">
      <c r="A117" s="37" t="s">
        <v>755</v>
      </c>
      <c r="B117" s="62" t="s">
        <v>313</v>
      </c>
      <c r="C117" s="37" t="s">
        <v>745</v>
      </c>
      <c r="D117" s="37" t="n">
        <f aca="false">INDEX(Strain_IDs!C:C,MATCH(Table1[[#This Row],[Strains]],Strain_IDs!D:D,0))</f>
        <v>25.1</v>
      </c>
      <c r="E117" s="37" t="s">
        <v>382</v>
      </c>
      <c r="F117" s="37" t="s">
        <v>23</v>
      </c>
      <c r="G117" s="37" t="s">
        <v>24</v>
      </c>
      <c r="H117" s="37" t="s">
        <v>22</v>
      </c>
      <c r="I117" s="37" t="s">
        <v>557</v>
      </c>
      <c r="J117" s="37" t="s">
        <v>746</v>
      </c>
      <c r="K117" s="37" t="s">
        <v>382</v>
      </c>
      <c r="L117" s="37" t="s">
        <v>34</v>
      </c>
      <c r="M117" s="37" t="s">
        <v>559</v>
      </c>
      <c r="N117" s="37" t="s">
        <v>22</v>
      </c>
      <c r="O117" s="37" t="s">
        <v>557</v>
      </c>
      <c r="P117" s="37" t="s">
        <v>747</v>
      </c>
      <c r="Q117" s="37" t="s">
        <v>748</v>
      </c>
      <c r="R117" s="37" t="s">
        <v>270</v>
      </c>
      <c r="S117" s="37" t="s">
        <v>270</v>
      </c>
      <c r="T117" s="37" t="s">
        <v>387</v>
      </c>
      <c r="U117" s="37"/>
      <c r="V117" s="37" t="s">
        <v>749</v>
      </c>
      <c r="W117" s="37" t="s">
        <v>756</v>
      </c>
      <c r="X117" s="37" t="n">
        <v>75</v>
      </c>
      <c r="Y117" s="37"/>
      <c r="Z117" s="37" t="n">
        <v>3</v>
      </c>
      <c r="AB117" s="37"/>
      <c r="AC117" s="37" t="n">
        <v>44.9</v>
      </c>
      <c r="AD117" s="37"/>
      <c r="AE117" s="37"/>
      <c r="AF117" s="37" t="s">
        <v>389</v>
      </c>
      <c r="AG117" s="62" t="s">
        <v>446</v>
      </c>
      <c r="AH117" s="63"/>
      <c r="AI117" s="62"/>
      <c r="AJ117" s="37" t="s">
        <v>607</v>
      </c>
      <c r="AK117" s="37" t="n">
        <f aca="false">SUM(Table1[[#This Row],[reported_1302]:[reported_1286_iso]])</f>
        <v>100</v>
      </c>
      <c r="AL117" s="64" t="n">
        <v>2.5</v>
      </c>
      <c r="AM117" s="64" t="n">
        <v>0.5</v>
      </c>
      <c r="AN117" s="64" t="n">
        <v>0.8</v>
      </c>
      <c r="AO117" s="64" t="n">
        <v>1</v>
      </c>
      <c r="AP117" s="64" t="n">
        <v>26.2</v>
      </c>
      <c r="AQ117" s="64" t="n">
        <v>0.3</v>
      </c>
      <c r="AR117" s="64" t="n">
        <v>14</v>
      </c>
      <c r="AS117" s="64" t="n">
        <v>52.4</v>
      </c>
      <c r="AT117" s="64" t="n">
        <v>1.8</v>
      </c>
      <c r="AU117" s="64"/>
      <c r="AV117" s="64"/>
      <c r="AW117" s="64" t="n">
        <v>0.5</v>
      </c>
      <c r="AX117" s="64"/>
      <c r="AY117" s="64"/>
      <c r="AZ117" s="64"/>
      <c r="BA117" s="64" t="n">
        <f aca="false">AL117/SUM($AL117:$AQ117)</f>
        <v>0.0798722044728435</v>
      </c>
      <c r="BB117" s="64" t="n">
        <f aca="false">AM117/SUM($AL117:$AQ117)</f>
        <v>0.0159744408945687</v>
      </c>
      <c r="BC117" s="64" t="n">
        <f aca="false">AN117/SUM($AL117:$AQ117)</f>
        <v>0.0255591054313099</v>
      </c>
      <c r="BD117" s="64" t="n">
        <f aca="false">AO117/SUM($AL117:$AQ117)</f>
        <v>0.0319488817891374</v>
      </c>
      <c r="BE117" s="64" t="n">
        <f aca="false">AP117/SUM($AL117:$AQ117)</f>
        <v>0.837060702875399</v>
      </c>
      <c r="BF117" s="64" t="n">
        <f aca="false">AQ117/SUM($AL117:$AQ117)</f>
        <v>0.00958466453674121</v>
      </c>
      <c r="BG117" s="65" t="e">
        <f aca="false">#N/A</f>
        <v>#N/A</v>
      </c>
      <c r="BH117" s="37" t="s">
        <v>393</v>
      </c>
      <c r="BI117" s="37" t="s">
        <v>564</v>
      </c>
      <c r="BJ117" s="37" t="s">
        <v>751</v>
      </c>
      <c r="BK117" s="40" t="s">
        <v>4</v>
      </c>
      <c r="BL117" s="40" t="s">
        <v>4</v>
      </c>
      <c r="BM117" s="37" t="s">
        <v>397</v>
      </c>
      <c r="BN117" s="37" t="s">
        <v>397</v>
      </c>
      <c r="BO117" s="37" t="s">
        <v>595</v>
      </c>
      <c r="BP117" s="37" t="s">
        <v>397</v>
      </c>
      <c r="BQ117" s="37" t="s">
        <v>397</v>
      </c>
      <c r="BR117" s="37"/>
      <c r="BS117" s="37"/>
      <c r="BT117" s="37" t="s">
        <v>316</v>
      </c>
      <c r="BU117" s="37" t="s">
        <v>752</v>
      </c>
      <c r="BV117" s="37" t="s">
        <v>317</v>
      </c>
      <c r="BW117" s="37" t="s">
        <v>402</v>
      </c>
    </row>
    <row r="118" customFormat="false" ht="14.9" hidden="false" customHeight="false" outlineLevel="0" collapsed="false">
      <c r="A118" s="37" t="s">
        <v>757</v>
      </c>
      <c r="B118" s="62" t="s">
        <v>313</v>
      </c>
      <c r="C118" s="37" t="s">
        <v>745</v>
      </c>
      <c r="D118" s="37" t="n">
        <f aca="false">INDEX(Strain_IDs!C:C,MATCH(Table1[[#This Row],[Strains]],Strain_IDs!D:D,0))</f>
        <v>25.1</v>
      </c>
      <c r="E118" s="37" t="s">
        <v>382</v>
      </c>
      <c r="F118" s="37" t="s">
        <v>23</v>
      </c>
      <c r="G118" s="37" t="s">
        <v>24</v>
      </c>
      <c r="H118" s="37" t="s">
        <v>22</v>
      </c>
      <c r="I118" s="37" t="s">
        <v>557</v>
      </c>
      <c r="J118" s="37" t="s">
        <v>746</v>
      </c>
      <c r="K118" s="37" t="s">
        <v>382</v>
      </c>
      <c r="L118" s="37" t="s">
        <v>34</v>
      </c>
      <c r="M118" s="37" t="s">
        <v>559</v>
      </c>
      <c r="N118" s="37" t="s">
        <v>22</v>
      </c>
      <c r="O118" s="37" t="s">
        <v>557</v>
      </c>
      <c r="P118" s="37" t="s">
        <v>747</v>
      </c>
      <c r="Q118" s="37" t="s">
        <v>748</v>
      </c>
      <c r="R118" s="37" t="s">
        <v>270</v>
      </c>
      <c r="S118" s="37" t="s">
        <v>270</v>
      </c>
      <c r="T118" s="37" t="s">
        <v>387</v>
      </c>
      <c r="U118" s="37"/>
      <c r="V118" s="37" t="s">
        <v>749</v>
      </c>
      <c r="W118" s="37" t="s">
        <v>758</v>
      </c>
      <c r="X118" s="37" t="n">
        <v>81</v>
      </c>
      <c r="Y118" s="37"/>
      <c r="Z118" s="37" t="n">
        <v>3</v>
      </c>
      <c r="AB118" s="37"/>
      <c r="AC118" s="37" t="n">
        <v>44.9</v>
      </c>
      <c r="AD118" s="37"/>
      <c r="AE118" s="37"/>
      <c r="AF118" s="37" t="s">
        <v>389</v>
      </c>
      <c r="AG118" s="62" t="s">
        <v>446</v>
      </c>
      <c r="AH118" s="63"/>
      <c r="AI118" s="62"/>
      <c r="AJ118" s="37" t="s">
        <v>607</v>
      </c>
      <c r="AK118" s="37" t="n">
        <f aca="false">SUM(Table1[[#This Row],[reported_1302]:[reported_1286_iso]])</f>
        <v>99.9</v>
      </c>
      <c r="AL118" s="64" t="n">
        <v>2</v>
      </c>
      <c r="AM118" s="64" t="n">
        <v>0.5</v>
      </c>
      <c r="AN118" s="64" t="n">
        <v>0.6</v>
      </c>
      <c r="AO118" s="64" t="n">
        <v>0.4</v>
      </c>
      <c r="AP118" s="64" t="n">
        <v>10.4</v>
      </c>
      <c r="AQ118" s="64" t="n">
        <v>0.9</v>
      </c>
      <c r="AR118" s="64" t="n">
        <v>3</v>
      </c>
      <c r="AS118" s="64" t="n">
        <v>75.2</v>
      </c>
      <c r="AT118" s="64" t="n">
        <v>6.6</v>
      </c>
      <c r="AU118" s="64"/>
      <c r="AV118" s="64"/>
      <c r="AW118" s="64" t="n">
        <v>0.3</v>
      </c>
      <c r="AX118" s="64"/>
      <c r="AY118" s="64"/>
      <c r="AZ118" s="64"/>
      <c r="BA118" s="64" t="n">
        <f aca="false">AL118/SUM($AL118:$AQ118)</f>
        <v>0.135135135135135</v>
      </c>
      <c r="BB118" s="64" t="n">
        <f aca="false">AM118/SUM($AL118:$AQ118)</f>
        <v>0.0337837837837838</v>
      </c>
      <c r="BC118" s="64" t="n">
        <f aca="false">AN118/SUM($AL118:$AQ118)</f>
        <v>0.0405405405405405</v>
      </c>
      <c r="BD118" s="64" t="n">
        <f aca="false">AO118/SUM($AL118:$AQ118)</f>
        <v>0.027027027027027</v>
      </c>
      <c r="BE118" s="64" t="n">
        <f aca="false">AP118/SUM($AL118:$AQ118)</f>
        <v>0.702702702702703</v>
      </c>
      <c r="BF118" s="64" t="n">
        <f aca="false">AQ118/SUM($AL118:$AQ118)</f>
        <v>0.0608108108108108</v>
      </c>
      <c r="BG118" s="65" t="e">
        <f aca="false">#N/A</f>
        <v>#N/A</v>
      </c>
      <c r="BH118" s="37" t="s">
        <v>393</v>
      </c>
      <c r="BI118" s="37" t="s">
        <v>564</v>
      </c>
      <c r="BJ118" s="37" t="s">
        <v>751</v>
      </c>
      <c r="BK118" s="40" t="s">
        <v>4</v>
      </c>
      <c r="BL118" s="40" t="s">
        <v>4</v>
      </c>
      <c r="BM118" s="37" t="s">
        <v>397</v>
      </c>
      <c r="BN118" s="37" t="s">
        <v>397</v>
      </c>
      <c r="BO118" s="37" t="s">
        <v>595</v>
      </c>
      <c r="BP118" s="37" t="s">
        <v>397</v>
      </c>
      <c r="BQ118" s="37" t="s">
        <v>397</v>
      </c>
      <c r="BR118" s="37"/>
      <c r="BS118" s="37"/>
      <c r="BT118" s="37" t="s">
        <v>316</v>
      </c>
      <c r="BU118" s="37" t="s">
        <v>752</v>
      </c>
      <c r="BV118" s="37" t="s">
        <v>317</v>
      </c>
      <c r="BW118" s="37" t="s">
        <v>402</v>
      </c>
    </row>
    <row r="119" customFormat="false" ht="14.9" hidden="false" customHeight="false" outlineLevel="0" collapsed="false">
      <c r="A119" s="37" t="s">
        <v>759</v>
      </c>
      <c r="B119" s="62" t="s">
        <v>313</v>
      </c>
      <c r="C119" s="37" t="s">
        <v>745</v>
      </c>
      <c r="D119" s="37" t="n">
        <f aca="false">INDEX(Strain_IDs!C:C,MATCH(Table1[[#This Row],[Strains]],Strain_IDs!D:D,0))</f>
        <v>25.1</v>
      </c>
      <c r="E119" s="37" t="s">
        <v>382</v>
      </c>
      <c r="F119" s="37" t="s">
        <v>23</v>
      </c>
      <c r="G119" s="37" t="s">
        <v>24</v>
      </c>
      <c r="H119" s="37" t="s">
        <v>22</v>
      </c>
      <c r="I119" s="37" t="s">
        <v>557</v>
      </c>
      <c r="J119" s="37" t="s">
        <v>746</v>
      </c>
      <c r="K119" s="37" t="s">
        <v>382</v>
      </c>
      <c r="L119" s="37" t="s">
        <v>34</v>
      </c>
      <c r="M119" s="37" t="s">
        <v>559</v>
      </c>
      <c r="N119" s="37" t="s">
        <v>22</v>
      </c>
      <c r="O119" s="37" t="s">
        <v>557</v>
      </c>
      <c r="P119" s="37" t="s">
        <v>747</v>
      </c>
      <c r="Q119" s="37" t="s">
        <v>748</v>
      </c>
      <c r="R119" s="37" t="s">
        <v>270</v>
      </c>
      <c r="S119" s="37" t="s">
        <v>270</v>
      </c>
      <c r="T119" s="37" t="s">
        <v>387</v>
      </c>
      <c r="U119" s="37"/>
      <c r="V119" s="37" t="s">
        <v>749</v>
      </c>
      <c r="W119" s="37" t="s">
        <v>760</v>
      </c>
      <c r="X119" s="37" t="n">
        <v>81</v>
      </c>
      <c r="Y119" s="37"/>
      <c r="Z119" s="37" t="n">
        <v>3.5</v>
      </c>
      <c r="AB119" s="37"/>
      <c r="AC119" s="37" t="n">
        <v>43.3</v>
      </c>
      <c r="AD119" s="37"/>
      <c r="AE119" s="37"/>
      <c r="AF119" s="37" t="s">
        <v>761</v>
      </c>
      <c r="AG119" s="62" t="s">
        <v>446</v>
      </c>
      <c r="AH119" s="63"/>
      <c r="AI119" s="62"/>
      <c r="AJ119" s="37" t="s">
        <v>607</v>
      </c>
      <c r="AK119" s="37" t="n">
        <f aca="false">SUM(Table1[[#This Row],[reported_1302]:[reported_1286_iso]])</f>
        <v>99.9</v>
      </c>
      <c r="AL119" s="64" t="n">
        <v>1.6</v>
      </c>
      <c r="AM119" s="64"/>
      <c r="AN119" s="64"/>
      <c r="AO119" s="64"/>
      <c r="AP119" s="64" t="n">
        <v>16.8</v>
      </c>
      <c r="AQ119" s="64"/>
      <c r="AR119" s="64" t="n">
        <v>4.8</v>
      </c>
      <c r="AS119" s="64" t="n">
        <v>72.3</v>
      </c>
      <c r="AT119" s="64" t="n">
        <v>4.4</v>
      </c>
      <c r="AU119" s="64"/>
      <c r="AV119" s="64"/>
      <c r="AW119" s="64"/>
      <c r="AX119" s="64"/>
      <c r="AY119" s="64"/>
      <c r="AZ119" s="64"/>
      <c r="BA119" s="64" t="n">
        <f aca="false">AL119/SUM($AL119:$AQ119)</f>
        <v>0.0869565217391304</v>
      </c>
      <c r="BB119" s="64" t="n">
        <f aca="false">AM119/SUM($AL119:$AQ119)</f>
        <v>0</v>
      </c>
      <c r="BC119" s="64" t="n">
        <f aca="false">AN119/SUM($AL119:$AQ119)</f>
        <v>0</v>
      </c>
      <c r="BD119" s="64" t="n">
        <f aca="false">AO119/SUM($AL119:$AQ119)</f>
        <v>0</v>
      </c>
      <c r="BE119" s="64" t="n">
        <f aca="false">AP119/SUM($AL119:$AQ119)</f>
        <v>0.91304347826087</v>
      </c>
      <c r="BF119" s="64" t="n">
        <f aca="false">AQ119/SUM($AL119:$AQ119)</f>
        <v>0</v>
      </c>
      <c r="BG119" s="65" t="e">
        <f aca="false">#N/A</f>
        <v>#N/A</v>
      </c>
      <c r="BH119" s="37" t="s">
        <v>393</v>
      </c>
      <c r="BI119" s="37" t="s">
        <v>564</v>
      </c>
      <c r="BJ119" s="37" t="s">
        <v>751</v>
      </c>
      <c r="BK119" s="40" t="s">
        <v>4</v>
      </c>
      <c r="BL119" s="40" t="s">
        <v>4</v>
      </c>
      <c r="BM119" s="37" t="s">
        <v>397</v>
      </c>
      <c r="BN119" s="37" t="s">
        <v>397</v>
      </c>
      <c r="BO119" s="37" t="s">
        <v>595</v>
      </c>
      <c r="BP119" s="37" t="s">
        <v>397</v>
      </c>
      <c r="BQ119" s="37" t="s">
        <v>397</v>
      </c>
      <c r="BR119" s="37"/>
      <c r="BS119" s="37"/>
      <c r="BT119" s="37" t="s">
        <v>316</v>
      </c>
      <c r="BU119" s="37" t="s">
        <v>752</v>
      </c>
      <c r="BV119" s="37" t="s">
        <v>317</v>
      </c>
      <c r="BW119" s="37" t="s">
        <v>402</v>
      </c>
    </row>
    <row r="120" customFormat="false" ht="14.9" hidden="false" customHeight="false" outlineLevel="0" collapsed="false">
      <c r="A120" s="37" t="s">
        <v>762</v>
      </c>
      <c r="B120" s="62" t="s">
        <v>313</v>
      </c>
      <c r="C120" s="37" t="s">
        <v>745</v>
      </c>
      <c r="D120" s="37" t="n">
        <f aca="false">INDEX(Strain_IDs!C:C,MATCH(Table1[[#This Row],[Strains]],Strain_IDs!D:D,0))</f>
        <v>25.1</v>
      </c>
      <c r="E120" s="37" t="s">
        <v>382</v>
      </c>
      <c r="F120" s="37" t="s">
        <v>23</v>
      </c>
      <c r="G120" s="37" t="s">
        <v>24</v>
      </c>
      <c r="H120" s="37" t="s">
        <v>22</v>
      </c>
      <c r="I120" s="37" t="s">
        <v>557</v>
      </c>
      <c r="J120" s="37" t="s">
        <v>746</v>
      </c>
      <c r="K120" s="37" t="s">
        <v>382</v>
      </c>
      <c r="L120" s="37" t="s">
        <v>34</v>
      </c>
      <c r="M120" s="37" t="s">
        <v>559</v>
      </c>
      <c r="N120" s="37" t="s">
        <v>22</v>
      </c>
      <c r="O120" s="37" t="s">
        <v>557</v>
      </c>
      <c r="P120" s="37" t="s">
        <v>747</v>
      </c>
      <c r="Q120" s="37" t="s">
        <v>748</v>
      </c>
      <c r="R120" s="37" t="s">
        <v>270</v>
      </c>
      <c r="S120" s="37" t="s">
        <v>270</v>
      </c>
      <c r="T120" s="37" t="s">
        <v>387</v>
      </c>
      <c r="U120" s="37"/>
      <c r="V120" s="37" t="s">
        <v>749</v>
      </c>
      <c r="W120" s="37" t="s">
        <v>763</v>
      </c>
      <c r="X120" s="37" t="n">
        <v>81</v>
      </c>
      <c r="Y120" s="37"/>
      <c r="Z120" s="37" t="n">
        <v>4</v>
      </c>
      <c r="AB120" s="37"/>
      <c r="AC120" s="37" t="n">
        <v>43.1</v>
      </c>
      <c r="AD120" s="37"/>
      <c r="AE120" s="37"/>
      <c r="AF120" s="37" t="s">
        <v>761</v>
      </c>
      <c r="AG120" s="62" t="s">
        <v>446</v>
      </c>
      <c r="AH120" s="63"/>
      <c r="AI120" s="62"/>
      <c r="AJ120" s="37" t="s">
        <v>607</v>
      </c>
      <c r="AK120" s="37" t="n">
        <f aca="false">SUM(Table1[[#This Row],[reported_1302]:[reported_1286_iso]])</f>
        <v>100</v>
      </c>
      <c r="AL120" s="64" t="n">
        <v>7.5</v>
      </c>
      <c r="AM120" s="64"/>
      <c r="AN120" s="64"/>
      <c r="AO120" s="64" t="n">
        <v>1.5</v>
      </c>
      <c r="AP120" s="64" t="n">
        <v>22.4</v>
      </c>
      <c r="AQ120" s="64" t="n">
        <v>0.3</v>
      </c>
      <c r="AR120" s="64" t="n">
        <v>10.6</v>
      </c>
      <c r="AS120" s="64" t="n">
        <v>55.9</v>
      </c>
      <c r="AT120" s="64" t="n">
        <v>1.6</v>
      </c>
      <c r="AU120" s="64"/>
      <c r="AV120" s="64"/>
      <c r="AW120" s="64" t="n">
        <v>0.2</v>
      </c>
      <c r="AX120" s="64"/>
      <c r="AY120" s="64"/>
      <c r="AZ120" s="64"/>
      <c r="BA120" s="64" t="n">
        <f aca="false">AL120/SUM($AL120:$AQ120)</f>
        <v>0.236593059936909</v>
      </c>
      <c r="BB120" s="64" t="n">
        <f aca="false">AM120/SUM($AL120:$AQ120)</f>
        <v>0</v>
      </c>
      <c r="BC120" s="64" t="n">
        <f aca="false">AN120/SUM($AL120:$AQ120)</f>
        <v>0</v>
      </c>
      <c r="BD120" s="64" t="n">
        <f aca="false">AO120/SUM($AL120:$AQ120)</f>
        <v>0.0473186119873817</v>
      </c>
      <c r="BE120" s="64" t="n">
        <f aca="false">AP120/SUM($AL120:$AQ120)</f>
        <v>0.706624605678233</v>
      </c>
      <c r="BF120" s="64" t="n">
        <f aca="false">AQ120/SUM($AL120:$AQ120)</f>
        <v>0.00946372239747634</v>
      </c>
      <c r="BG120" s="65" t="e">
        <f aca="false">#N/A</f>
        <v>#N/A</v>
      </c>
      <c r="BH120" s="37" t="s">
        <v>393</v>
      </c>
      <c r="BI120" s="37" t="s">
        <v>564</v>
      </c>
      <c r="BJ120" s="37" t="s">
        <v>751</v>
      </c>
      <c r="BK120" s="40" t="s">
        <v>4</v>
      </c>
      <c r="BL120" s="40" t="s">
        <v>4</v>
      </c>
      <c r="BM120" s="37" t="s">
        <v>397</v>
      </c>
      <c r="BN120" s="37" t="s">
        <v>397</v>
      </c>
      <c r="BO120" s="37" t="s">
        <v>595</v>
      </c>
      <c r="BP120" s="37" t="s">
        <v>397</v>
      </c>
      <c r="BQ120" s="37" t="s">
        <v>397</v>
      </c>
      <c r="BR120" s="37"/>
      <c r="BS120" s="37"/>
      <c r="BT120" s="37" t="s">
        <v>316</v>
      </c>
      <c r="BU120" s="37" t="s">
        <v>752</v>
      </c>
      <c r="BV120" s="37" t="s">
        <v>317</v>
      </c>
      <c r="BW120" s="37" t="s">
        <v>402</v>
      </c>
    </row>
    <row r="121" customFormat="false" ht="14.9" hidden="false" customHeight="false" outlineLevel="0" collapsed="false">
      <c r="A121" s="37" t="s">
        <v>764</v>
      </c>
      <c r="B121" s="62" t="s">
        <v>313</v>
      </c>
      <c r="C121" s="37" t="s">
        <v>745</v>
      </c>
      <c r="D121" s="37" t="n">
        <f aca="false">INDEX(Strain_IDs!C:C,MATCH(Table1[[#This Row],[Strains]],Strain_IDs!D:D,0))</f>
        <v>25.1</v>
      </c>
      <c r="E121" s="37" t="s">
        <v>382</v>
      </c>
      <c r="F121" s="37" t="s">
        <v>23</v>
      </c>
      <c r="G121" s="37" t="s">
        <v>24</v>
      </c>
      <c r="H121" s="37" t="s">
        <v>22</v>
      </c>
      <c r="I121" s="37" t="s">
        <v>557</v>
      </c>
      <c r="J121" s="37" t="s">
        <v>746</v>
      </c>
      <c r="K121" s="37" t="s">
        <v>382</v>
      </c>
      <c r="L121" s="37" t="s">
        <v>34</v>
      </c>
      <c r="M121" s="37" t="s">
        <v>559</v>
      </c>
      <c r="N121" s="37" t="s">
        <v>22</v>
      </c>
      <c r="O121" s="37" t="s">
        <v>557</v>
      </c>
      <c r="P121" s="37" t="s">
        <v>747</v>
      </c>
      <c r="Q121" s="37" t="s">
        <v>748</v>
      </c>
      <c r="R121" s="37" t="s">
        <v>270</v>
      </c>
      <c r="S121" s="37" t="s">
        <v>270</v>
      </c>
      <c r="T121" s="37" t="s">
        <v>387</v>
      </c>
      <c r="U121" s="37"/>
      <c r="V121" s="37" t="s">
        <v>749</v>
      </c>
      <c r="W121" s="37" t="s">
        <v>765</v>
      </c>
      <c r="X121" s="37" t="n">
        <v>81</v>
      </c>
      <c r="Y121" s="37"/>
      <c r="Z121" s="37" t="n">
        <v>4.5</v>
      </c>
      <c r="AB121" s="37"/>
      <c r="AC121" s="37" t="n">
        <v>43.1</v>
      </c>
      <c r="AD121" s="37"/>
      <c r="AE121" s="37"/>
      <c r="AF121" s="37" t="s">
        <v>761</v>
      </c>
      <c r="AG121" s="62" t="s">
        <v>446</v>
      </c>
      <c r="AH121" s="63"/>
      <c r="AI121" s="62"/>
      <c r="AJ121" s="37" t="s">
        <v>607</v>
      </c>
      <c r="AK121" s="37" t="n">
        <f aca="false">SUM(Table1[[#This Row],[reported_1302]:[reported_1286_iso]])</f>
        <v>101.9</v>
      </c>
      <c r="AL121" s="64" t="n">
        <v>8.9</v>
      </c>
      <c r="AM121" s="64"/>
      <c r="AN121" s="64"/>
      <c r="AO121" s="64"/>
      <c r="AP121" s="64" t="n">
        <v>23</v>
      </c>
      <c r="AQ121" s="64"/>
      <c r="AR121" s="64" t="n">
        <v>6</v>
      </c>
      <c r="AS121" s="64" t="n">
        <v>63</v>
      </c>
      <c r="AT121" s="64" t="n">
        <v>1</v>
      </c>
      <c r="AU121" s="64"/>
      <c r="AV121" s="64"/>
      <c r="AW121" s="64"/>
      <c r="AX121" s="64"/>
      <c r="AY121" s="64"/>
      <c r="AZ121" s="64"/>
      <c r="BA121" s="64" t="n">
        <f aca="false">AL121/SUM($AL121:$AQ121)</f>
        <v>0.278996865203762</v>
      </c>
      <c r="BB121" s="64" t="n">
        <f aca="false">AM121/SUM($AL121:$AQ121)</f>
        <v>0</v>
      </c>
      <c r="BC121" s="64" t="n">
        <f aca="false">AN121/SUM($AL121:$AQ121)</f>
        <v>0</v>
      </c>
      <c r="BD121" s="64" t="n">
        <f aca="false">AO121/SUM($AL121:$AQ121)</f>
        <v>0</v>
      </c>
      <c r="BE121" s="64" t="n">
        <f aca="false">AP121/SUM($AL121:$AQ121)</f>
        <v>0.721003134796238</v>
      </c>
      <c r="BF121" s="64" t="n">
        <f aca="false">AQ121/SUM($AL121:$AQ121)</f>
        <v>0</v>
      </c>
      <c r="BG121" s="65" t="e">
        <f aca="false">#N/A</f>
        <v>#N/A</v>
      </c>
      <c r="BH121" s="37" t="s">
        <v>393</v>
      </c>
      <c r="BI121" s="37" t="s">
        <v>564</v>
      </c>
      <c r="BJ121" s="37" t="s">
        <v>751</v>
      </c>
      <c r="BK121" s="40" t="s">
        <v>4</v>
      </c>
      <c r="BL121" s="40" t="s">
        <v>4</v>
      </c>
      <c r="BM121" s="37" t="s">
        <v>397</v>
      </c>
      <c r="BN121" s="37" t="s">
        <v>397</v>
      </c>
      <c r="BO121" s="37" t="s">
        <v>595</v>
      </c>
      <c r="BP121" s="37" t="s">
        <v>397</v>
      </c>
      <c r="BQ121" s="37" t="s">
        <v>397</v>
      </c>
      <c r="BR121" s="37"/>
      <c r="BS121" s="37"/>
      <c r="BT121" s="37" t="s">
        <v>316</v>
      </c>
      <c r="BU121" s="37" t="s">
        <v>752</v>
      </c>
      <c r="BV121" s="37" t="s">
        <v>317</v>
      </c>
      <c r="BW121" s="37" t="s">
        <v>402</v>
      </c>
    </row>
    <row r="122" customFormat="false" ht="14.9" hidden="false" customHeight="false" outlineLevel="0" collapsed="false">
      <c r="A122" s="37" t="s">
        <v>766</v>
      </c>
      <c r="B122" s="62" t="s">
        <v>313</v>
      </c>
      <c r="C122" s="37" t="s">
        <v>745</v>
      </c>
      <c r="D122" s="37" t="n">
        <f aca="false">INDEX(Strain_IDs!C:C,MATCH(Table1[[#This Row],[Strains]],Strain_IDs!D:D,0))</f>
        <v>25.1</v>
      </c>
      <c r="E122" s="37" t="s">
        <v>382</v>
      </c>
      <c r="F122" s="37" t="s">
        <v>23</v>
      </c>
      <c r="G122" s="37" t="s">
        <v>24</v>
      </c>
      <c r="H122" s="37" t="s">
        <v>22</v>
      </c>
      <c r="I122" s="37" t="s">
        <v>557</v>
      </c>
      <c r="J122" s="37" t="s">
        <v>746</v>
      </c>
      <c r="K122" s="37" t="s">
        <v>382</v>
      </c>
      <c r="L122" s="37" t="s">
        <v>34</v>
      </c>
      <c r="M122" s="37" t="s">
        <v>559</v>
      </c>
      <c r="N122" s="37" t="s">
        <v>22</v>
      </c>
      <c r="O122" s="37" t="s">
        <v>557</v>
      </c>
      <c r="P122" s="37" t="s">
        <v>747</v>
      </c>
      <c r="Q122" s="37" t="s">
        <v>748</v>
      </c>
      <c r="R122" s="37" t="s">
        <v>270</v>
      </c>
      <c r="S122" s="37" t="s">
        <v>270</v>
      </c>
      <c r="T122" s="37" t="s">
        <v>387</v>
      </c>
      <c r="U122" s="37"/>
      <c r="V122" s="37" t="s">
        <v>749</v>
      </c>
      <c r="W122" s="37" t="s">
        <v>767</v>
      </c>
      <c r="X122" s="37" t="n">
        <v>81</v>
      </c>
      <c r="Y122" s="37"/>
      <c r="Z122" s="37" t="n">
        <v>5</v>
      </c>
      <c r="AB122" s="37"/>
      <c r="AC122" s="37" t="n">
        <v>43.1</v>
      </c>
      <c r="AD122" s="37"/>
      <c r="AE122" s="37"/>
      <c r="AF122" s="37" t="s">
        <v>761</v>
      </c>
      <c r="AG122" s="62" t="s">
        <v>446</v>
      </c>
      <c r="AH122" s="63"/>
      <c r="AI122" s="62"/>
      <c r="AJ122" s="37" t="s">
        <v>607</v>
      </c>
      <c r="AK122" s="37" t="n">
        <f aca="false">SUM(Table1[[#This Row],[reported_1302]:[reported_1286_iso]])</f>
        <v>100</v>
      </c>
      <c r="AL122" s="64" t="n">
        <v>9.8</v>
      </c>
      <c r="AM122" s="64"/>
      <c r="AN122" s="64"/>
      <c r="AO122" s="64"/>
      <c r="AP122" s="64" t="n">
        <v>19.4</v>
      </c>
      <c r="AQ122" s="64" t="n">
        <v>1</v>
      </c>
      <c r="AR122" s="64" t="n">
        <v>2.2</v>
      </c>
      <c r="AS122" s="64" t="n">
        <v>65.7</v>
      </c>
      <c r="AT122" s="64" t="n">
        <v>0.9</v>
      </c>
      <c r="AU122" s="64"/>
      <c r="AV122" s="64"/>
      <c r="AW122" s="64" t="n">
        <v>1</v>
      </c>
      <c r="AX122" s="64"/>
      <c r="AY122" s="64"/>
      <c r="AZ122" s="64"/>
      <c r="BA122" s="64" t="n">
        <f aca="false">AL122/SUM($AL122:$AQ122)</f>
        <v>0.324503311258278</v>
      </c>
      <c r="BB122" s="64" t="n">
        <f aca="false">AM122/SUM($AL122:$AQ122)</f>
        <v>0</v>
      </c>
      <c r="BC122" s="64" t="n">
        <f aca="false">AN122/SUM($AL122:$AQ122)</f>
        <v>0</v>
      </c>
      <c r="BD122" s="64" t="n">
        <f aca="false">AO122/SUM($AL122:$AQ122)</f>
        <v>0</v>
      </c>
      <c r="BE122" s="64" t="n">
        <f aca="false">AP122/SUM($AL122:$AQ122)</f>
        <v>0.642384105960265</v>
      </c>
      <c r="BF122" s="64" t="n">
        <f aca="false">AQ122/SUM($AL122:$AQ122)</f>
        <v>0.033112582781457</v>
      </c>
      <c r="BG122" s="65" t="e">
        <f aca="false">#N/A</f>
        <v>#N/A</v>
      </c>
      <c r="BH122" s="37" t="s">
        <v>393</v>
      </c>
      <c r="BI122" s="37" t="s">
        <v>564</v>
      </c>
      <c r="BJ122" s="37" t="s">
        <v>751</v>
      </c>
      <c r="BK122" s="40" t="s">
        <v>4</v>
      </c>
      <c r="BL122" s="40" t="s">
        <v>4</v>
      </c>
      <c r="BM122" s="37" t="s">
        <v>397</v>
      </c>
      <c r="BN122" s="37" t="s">
        <v>397</v>
      </c>
      <c r="BO122" s="37" t="s">
        <v>595</v>
      </c>
      <c r="BP122" s="37" t="s">
        <v>397</v>
      </c>
      <c r="BQ122" s="37" t="s">
        <v>397</v>
      </c>
      <c r="BR122" s="37"/>
      <c r="BS122" s="37"/>
      <c r="BT122" s="37" t="s">
        <v>316</v>
      </c>
      <c r="BU122" s="37" t="s">
        <v>752</v>
      </c>
      <c r="BV122" s="37" t="s">
        <v>317</v>
      </c>
      <c r="BW122" s="37" t="s">
        <v>402</v>
      </c>
    </row>
    <row r="123" customFormat="false" ht="14.9" hidden="false" customHeight="false" outlineLevel="0" collapsed="false">
      <c r="A123" s="37" t="s">
        <v>768</v>
      </c>
      <c r="B123" s="62" t="s">
        <v>313</v>
      </c>
      <c r="C123" s="37" t="s">
        <v>745</v>
      </c>
      <c r="D123" s="37" t="n">
        <f aca="false">INDEX(Strain_IDs!C:C,MATCH(Table1[[#This Row],[Strains]],Strain_IDs!D:D,0))</f>
        <v>25.1</v>
      </c>
      <c r="E123" s="37" t="s">
        <v>382</v>
      </c>
      <c r="F123" s="37" t="s">
        <v>23</v>
      </c>
      <c r="G123" s="37" t="s">
        <v>24</v>
      </c>
      <c r="H123" s="37" t="s">
        <v>22</v>
      </c>
      <c r="I123" s="37" t="s">
        <v>557</v>
      </c>
      <c r="J123" s="37" t="s">
        <v>746</v>
      </c>
      <c r="K123" s="37" t="s">
        <v>382</v>
      </c>
      <c r="L123" s="37" t="s">
        <v>34</v>
      </c>
      <c r="M123" s="37" t="s">
        <v>559</v>
      </c>
      <c r="N123" s="37" t="s">
        <v>22</v>
      </c>
      <c r="O123" s="37" t="s">
        <v>557</v>
      </c>
      <c r="P123" s="37" t="s">
        <v>747</v>
      </c>
      <c r="Q123" s="37" t="s">
        <v>748</v>
      </c>
      <c r="R123" s="37" t="s">
        <v>270</v>
      </c>
      <c r="S123" s="37" t="s">
        <v>270</v>
      </c>
      <c r="T123" s="37" t="s">
        <v>387</v>
      </c>
      <c r="U123" s="37"/>
      <c r="V123" s="37" t="s">
        <v>749</v>
      </c>
      <c r="W123" s="37" t="s">
        <v>769</v>
      </c>
      <c r="X123" s="37" t="n">
        <v>81</v>
      </c>
      <c r="Y123" s="37"/>
      <c r="Z123" s="37" t="n">
        <v>3</v>
      </c>
      <c r="AB123" s="37"/>
      <c r="AC123" s="37" t="n">
        <v>10.1</v>
      </c>
      <c r="AD123" s="37"/>
      <c r="AE123" s="37"/>
      <c r="AF123" s="37" t="s">
        <v>770</v>
      </c>
      <c r="AG123" s="62" t="s">
        <v>446</v>
      </c>
      <c r="AH123" s="63"/>
      <c r="AI123" s="62"/>
      <c r="AJ123" s="37" t="s">
        <v>607</v>
      </c>
      <c r="AK123" s="37" t="n">
        <f aca="false">SUM(Table1[[#This Row],[reported_1302]:[reported_1286_iso]])</f>
        <v>99.9</v>
      </c>
      <c r="AL123" s="64"/>
      <c r="AM123" s="64"/>
      <c r="AN123" s="64"/>
      <c r="AO123" s="64"/>
      <c r="AP123" s="64" t="n">
        <v>8</v>
      </c>
      <c r="AQ123" s="64"/>
      <c r="AR123" s="64" t="n">
        <v>0.5</v>
      </c>
      <c r="AS123" s="64" t="n">
        <v>87.7</v>
      </c>
      <c r="AT123" s="64" t="n">
        <v>3.4</v>
      </c>
      <c r="AU123" s="64"/>
      <c r="AV123" s="64"/>
      <c r="AW123" s="64" t="n">
        <v>0.3</v>
      </c>
      <c r="AX123" s="64"/>
      <c r="AY123" s="64"/>
      <c r="AZ123" s="64"/>
      <c r="BA123" s="64" t="n">
        <f aca="false">AL123/SUM($AL123:$AQ123)</f>
        <v>0</v>
      </c>
      <c r="BB123" s="64" t="n">
        <f aca="false">AM123/SUM($AL123:$AQ123)</f>
        <v>0</v>
      </c>
      <c r="BC123" s="64" t="n">
        <f aca="false">AN123/SUM($AL123:$AQ123)</f>
        <v>0</v>
      </c>
      <c r="BD123" s="64" t="n">
        <f aca="false">AO123/SUM($AL123:$AQ123)</f>
        <v>0</v>
      </c>
      <c r="BE123" s="64" t="n">
        <f aca="false">AP123/SUM($AL123:$AQ123)</f>
        <v>1</v>
      </c>
      <c r="BF123" s="64" t="n">
        <f aca="false">AQ123/SUM($AL123:$AQ123)</f>
        <v>0</v>
      </c>
      <c r="BG123" s="65" t="e">
        <f aca="false">#N/A</f>
        <v>#N/A</v>
      </c>
      <c r="BH123" s="37" t="s">
        <v>393</v>
      </c>
      <c r="BI123" s="37" t="s">
        <v>564</v>
      </c>
      <c r="BJ123" s="37" t="s">
        <v>751</v>
      </c>
      <c r="BK123" s="40" t="s">
        <v>4</v>
      </c>
      <c r="BL123" s="40" t="s">
        <v>4</v>
      </c>
      <c r="BM123" s="37" t="s">
        <v>397</v>
      </c>
      <c r="BN123" s="37" t="s">
        <v>397</v>
      </c>
      <c r="BO123" s="37" t="s">
        <v>595</v>
      </c>
      <c r="BP123" s="37" t="s">
        <v>397</v>
      </c>
      <c r="BQ123" s="37" t="s">
        <v>397</v>
      </c>
      <c r="BR123" s="37"/>
      <c r="BS123" s="37"/>
      <c r="BT123" s="37" t="s">
        <v>316</v>
      </c>
      <c r="BU123" s="37" t="s">
        <v>752</v>
      </c>
      <c r="BV123" s="37" t="s">
        <v>317</v>
      </c>
      <c r="BW123" s="37" t="s">
        <v>402</v>
      </c>
    </row>
    <row r="124" customFormat="false" ht="14.9" hidden="false" customHeight="false" outlineLevel="0" collapsed="false">
      <c r="A124" s="37" t="s">
        <v>771</v>
      </c>
      <c r="B124" s="62" t="s">
        <v>313</v>
      </c>
      <c r="C124" s="37" t="s">
        <v>745</v>
      </c>
      <c r="D124" s="37" t="n">
        <f aca="false">INDEX(Strain_IDs!C:C,MATCH(Table1[[#This Row],[Strains]],Strain_IDs!D:D,0))</f>
        <v>25.1</v>
      </c>
      <c r="E124" s="37" t="s">
        <v>382</v>
      </c>
      <c r="F124" s="37" t="s">
        <v>23</v>
      </c>
      <c r="G124" s="37" t="s">
        <v>24</v>
      </c>
      <c r="H124" s="37" t="s">
        <v>22</v>
      </c>
      <c r="I124" s="37" t="s">
        <v>557</v>
      </c>
      <c r="J124" s="37" t="s">
        <v>746</v>
      </c>
      <c r="K124" s="37" t="s">
        <v>382</v>
      </c>
      <c r="L124" s="37" t="s">
        <v>34</v>
      </c>
      <c r="M124" s="37" t="s">
        <v>559</v>
      </c>
      <c r="N124" s="37" t="s">
        <v>22</v>
      </c>
      <c r="O124" s="37" t="s">
        <v>557</v>
      </c>
      <c r="P124" s="37" t="s">
        <v>747</v>
      </c>
      <c r="Q124" s="37" t="s">
        <v>748</v>
      </c>
      <c r="R124" s="37" t="s">
        <v>270</v>
      </c>
      <c r="S124" s="37" t="s">
        <v>270</v>
      </c>
      <c r="T124" s="37" t="s">
        <v>387</v>
      </c>
      <c r="U124" s="37"/>
      <c r="V124" s="37" t="s">
        <v>749</v>
      </c>
      <c r="W124" s="37" t="s">
        <v>772</v>
      </c>
      <c r="X124" s="37" t="n">
        <v>81</v>
      </c>
      <c r="Y124" s="37"/>
      <c r="Z124" s="37" t="n">
        <v>3</v>
      </c>
      <c r="AB124" s="37"/>
      <c r="AC124" s="37" t="n">
        <v>15</v>
      </c>
      <c r="AD124" s="37"/>
      <c r="AE124" s="37"/>
      <c r="AF124" s="37" t="s">
        <v>770</v>
      </c>
      <c r="AG124" s="62" t="s">
        <v>446</v>
      </c>
      <c r="AH124" s="63"/>
      <c r="AI124" s="62"/>
      <c r="AJ124" s="37" t="s">
        <v>607</v>
      </c>
      <c r="AK124" s="37" t="n">
        <f aca="false">SUM(Table1[[#This Row],[reported_1302]:[reported_1286_iso]])</f>
        <v>99.9</v>
      </c>
      <c r="AL124" s="64"/>
      <c r="AM124" s="64"/>
      <c r="AN124" s="64"/>
      <c r="AO124" s="64"/>
      <c r="AP124" s="64" t="n">
        <v>8</v>
      </c>
      <c r="AQ124" s="64"/>
      <c r="AR124" s="64" t="n">
        <v>0.4</v>
      </c>
      <c r="AS124" s="64" t="n">
        <v>88</v>
      </c>
      <c r="AT124" s="64" t="n">
        <v>3.3</v>
      </c>
      <c r="AU124" s="64"/>
      <c r="AV124" s="64"/>
      <c r="AW124" s="64" t="n">
        <v>0.2</v>
      </c>
      <c r="AX124" s="64"/>
      <c r="AY124" s="64"/>
      <c r="AZ124" s="64"/>
      <c r="BA124" s="64" t="n">
        <f aca="false">AL124/SUM($AL124:$AQ124)</f>
        <v>0</v>
      </c>
      <c r="BB124" s="64" t="n">
        <f aca="false">AM124/SUM($AL124:$AQ124)</f>
        <v>0</v>
      </c>
      <c r="BC124" s="64" t="n">
        <f aca="false">AN124/SUM($AL124:$AQ124)</f>
        <v>0</v>
      </c>
      <c r="BD124" s="64" t="n">
        <f aca="false">AO124/SUM($AL124:$AQ124)</f>
        <v>0</v>
      </c>
      <c r="BE124" s="64" t="n">
        <f aca="false">AP124/SUM($AL124:$AQ124)</f>
        <v>1</v>
      </c>
      <c r="BF124" s="64" t="n">
        <f aca="false">AQ124/SUM($AL124:$AQ124)</f>
        <v>0</v>
      </c>
      <c r="BG124" s="65" t="e">
        <f aca="false">#N/A</f>
        <v>#N/A</v>
      </c>
      <c r="BH124" s="37" t="s">
        <v>393</v>
      </c>
      <c r="BI124" s="37" t="s">
        <v>564</v>
      </c>
      <c r="BJ124" s="37" t="s">
        <v>751</v>
      </c>
      <c r="BK124" s="40" t="s">
        <v>4</v>
      </c>
      <c r="BL124" s="40" t="s">
        <v>4</v>
      </c>
      <c r="BM124" s="37" t="s">
        <v>397</v>
      </c>
      <c r="BN124" s="37" t="s">
        <v>397</v>
      </c>
      <c r="BO124" s="37" t="s">
        <v>595</v>
      </c>
      <c r="BP124" s="37" t="s">
        <v>397</v>
      </c>
      <c r="BQ124" s="37" t="s">
        <v>397</v>
      </c>
      <c r="BR124" s="37"/>
      <c r="BS124" s="37"/>
      <c r="BT124" s="37" t="s">
        <v>316</v>
      </c>
      <c r="BU124" s="37" t="s">
        <v>752</v>
      </c>
      <c r="BV124" s="37" t="s">
        <v>317</v>
      </c>
      <c r="BW124" s="37" t="s">
        <v>402</v>
      </c>
    </row>
    <row r="125" customFormat="false" ht="14.9" hidden="false" customHeight="false" outlineLevel="0" collapsed="false">
      <c r="A125" s="37" t="s">
        <v>773</v>
      </c>
      <c r="B125" s="62" t="s">
        <v>313</v>
      </c>
      <c r="C125" s="37" t="s">
        <v>745</v>
      </c>
      <c r="D125" s="37" t="n">
        <f aca="false">INDEX(Strain_IDs!C:C,MATCH(Table1[[#This Row],[Strains]],Strain_IDs!D:D,0))</f>
        <v>25.1</v>
      </c>
      <c r="E125" s="37" t="s">
        <v>382</v>
      </c>
      <c r="F125" s="37" t="s">
        <v>23</v>
      </c>
      <c r="G125" s="37" t="s">
        <v>24</v>
      </c>
      <c r="H125" s="37" t="s">
        <v>22</v>
      </c>
      <c r="I125" s="37" t="s">
        <v>557</v>
      </c>
      <c r="J125" s="37" t="s">
        <v>746</v>
      </c>
      <c r="K125" s="37" t="s">
        <v>382</v>
      </c>
      <c r="L125" s="37" t="s">
        <v>34</v>
      </c>
      <c r="M125" s="37" t="s">
        <v>559</v>
      </c>
      <c r="N125" s="37" t="s">
        <v>22</v>
      </c>
      <c r="O125" s="37" t="s">
        <v>557</v>
      </c>
      <c r="P125" s="37" t="s">
        <v>747</v>
      </c>
      <c r="Q125" s="37" t="s">
        <v>748</v>
      </c>
      <c r="R125" s="37" t="s">
        <v>270</v>
      </c>
      <c r="S125" s="37" t="s">
        <v>270</v>
      </c>
      <c r="T125" s="37" t="s">
        <v>387</v>
      </c>
      <c r="U125" s="37"/>
      <c r="V125" s="37" t="s">
        <v>749</v>
      </c>
      <c r="W125" s="37" t="s">
        <v>774</v>
      </c>
      <c r="X125" s="37" t="n">
        <v>81</v>
      </c>
      <c r="Y125" s="37"/>
      <c r="Z125" s="37" t="n">
        <v>3</v>
      </c>
      <c r="AB125" s="37"/>
      <c r="AC125" s="37" t="n">
        <v>22.3</v>
      </c>
      <c r="AD125" s="37"/>
      <c r="AE125" s="37"/>
      <c r="AF125" s="37" t="s">
        <v>770</v>
      </c>
      <c r="AG125" s="62" t="s">
        <v>446</v>
      </c>
      <c r="AH125" s="63"/>
      <c r="AI125" s="62"/>
      <c r="AJ125" s="37" t="s">
        <v>607</v>
      </c>
      <c r="AK125" s="37" t="n">
        <f aca="false">SUM(Table1[[#This Row],[reported_1302]:[reported_1286_iso]])</f>
        <v>172</v>
      </c>
      <c r="AL125" s="64"/>
      <c r="AM125" s="64"/>
      <c r="AN125" s="64"/>
      <c r="AO125" s="64"/>
      <c r="AP125" s="64" t="n">
        <v>80.2</v>
      </c>
      <c r="AQ125" s="64"/>
      <c r="AR125" s="64" t="n">
        <v>0.3</v>
      </c>
      <c r="AS125" s="64" t="n">
        <v>86.8</v>
      </c>
      <c r="AT125" s="64" t="n">
        <v>4.6</v>
      </c>
      <c r="AU125" s="64"/>
      <c r="AV125" s="64"/>
      <c r="AW125" s="64" t="n">
        <v>0.1</v>
      </c>
      <c r="AX125" s="64"/>
      <c r="AY125" s="64"/>
      <c r="AZ125" s="64"/>
      <c r="BA125" s="64" t="n">
        <f aca="false">AL125/SUM($AL125:$AQ125)</f>
        <v>0</v>
      </c>
      <c r="BB125" s="64" t="n">
        <f aca="false">AM125/SUM($AL125:$AQ125)</f>
        <v>0</v>
      </c>
      <c r="BC125" s="64" t="n">
        <f aca="false">AN125/SUM($AL125:$AQ125)</f>
        <v>0</v>
      </c>
      <c r="BD125" s="64" t="n">
        <f aca="false">AO125/SUM($AL125:$AQ125)</f>
        <v>0</v>
      </c>
      <c r="BE125" s="64" t="n">
        <f aca="false">AP125/SUM($AL125:$AQ125)</f>
        <v>1</v>
      </c>
      <c r="BF125" s="64" t="n">
        <f aca="false">AQ125/SUM($AL125:$AQ125)</f>
        <v>0</v>
      </c>
      <c r="BG125" s="65" t="e">
        <f aca="false">#N/A</f>
        <v>#N/A</v>
      </c>
      <c r="BH125" s="37" t="s">
        <v>393</v>
      </c>
      <c r="BI125" s="37" t="s">
        <v>564</v>
      </c>
      <c r="BJ125" s="37" t="s">
        <v>751</v>
      </c>
      <c r="BK125" s="40" t="s">
        <v>4</v>
      </c>
      <c r="BL125" s="40" t="s">
        <v>4</v>
      </c>
      <c r="BM125" s="37" t="s">
        <v>397</v>
      </c>
      <c r="BN125" s="37" t="s">
        <v>397</v>
      </c>
      <c r="BO125" s="37" t="s">
        <v>595</v>
      </c>
      <c r="BP125" s="37" t="s">
        <v>397</v>
      </c>
      <c r="BQ125" s="37" t="s">
        <v>397</v>
      </c>
      <c r="BR125" s="37"/>
      <c r="BS125" s="37"/>
      <c r="BT125" s="37" t="s">
        <v>316</v>
      </c>
      <c r="BU125" s="37" t="s">
        <v>752</v>
      </c>
      <c r="BV125" s="37" t="s">
        <v>317</v>
      </c>
      <c r="BW125" s="37" t="s">
        <v>402</v>
      </c>
    </row>
    <row r="126" customFormat="false" ht="14.9" hidden="false" customHeight="false" outlineLevel="0" collapsed="false">
      <c r="A126" s="37" t="s">
        <v>775</v>
      </c>
      <c r="B126" s="62" t="s">
        <v>313</v>
      </c>
      <c r="C126" s="37" t="s">
        <v>745</v>
      </c>
      <c r="D126" s="37" t="n">
        <f aca="false">INDEX(Strain_IDs!C:C,MATCH(Table1[[#This Row],[Strains]],Strain_IDs!D:D,0))</f>
        <v>25.1</v>
      </c>
      <c r="E126" s="37" t="s">
        <v>382</v>
      </c>
      <c r="F126" s="37" t="s">
        <v>23</v>
      </c>
      <c r="G126" s="37" t="s">
        <v>24</v>
      </c>
      <c r="H126" s="37" t="s">
        <v>22</v>
      </c>
      <c r="I126" s="37" t="s">
        <v>557</v>
      </c>
      <c r="J126" s="37" t="s">
        <v>746</v>
      </c>
      <c r="K126" s="37" t="s">
        <v>382</v>
      </c>
      <c r="L126" s="37" t="s">
        <v>34</v>
      </c>
      <c r="M126" s="37" t="s">
        <v>559</v>
      </c>
      <c r="N126" s="37" t="s">
        <v>22</v>
      </c>
      <c r="O126" s="37" t="s">
        <v>557</v>
      </c>
      <c r="P126" s="37" t="s">
        <v>747</v>
      </c>
      <c r="Q126" s="37" t="s">
        <v>748</v>
      </c>
      <c r="R126" s="37" t="s">
        <v>270</v>
      </c>
      <c r="S126" s="37" t="s">
        <v>270</v>
      </c>
      <c r="T126" s="37" t="s">
        <v>387</v>
      </c>
      <c r="U126" s="37"/>
      <c r="V126" s="37" t="s">
        <v>749</v>
      </c>
      <c r="W126" s="37" t="s">
        <v>776</v>
      </c>
      <c r="X126" s="37" t="n">
        <v>81</v>
      </c>
      <c r="Y126" s="37"/>
      <c r="Z126" s="37" t="n">
        <v>3</v>
      </c>
      <c r="AB126" s="37"/>
      <c r="AC126" s="37" t="n">
        <v>27.8</v>
      </c>
      <c r="AD126" s="37"/>
      <c r="AE126" s="37"/>
      <c r="AF126" s="37" t="s">
        <v>770</v>
      </c>
      <c r="AG126" s="62" t="s">
        <v>446</v>
      </c>
      <c r="AH126" s="63"/>
      <c r="AI126" s="62"/>
      <c r="AJ126" s="37" t="s">
        <v>607</v>
      </c>
      <c r="AK126" s="37" t="n">
        <f aca="false">SUM(Table1[[#This Row],[reported_1302]:[reported_1286_iso]])</f>
        <v>99.9</v>
      </c>
      <c r="AL126" s="64"/>
      <c r="AM126" s="64"/>
      <c r="AN126" s="64"/>
      <c r="AO126" s="64"/>
      <c r="AP126" s="64" t="n">
        <v>7.7</v>
      </c>
      <c r="AQ126" s="64"/>
      <c r="AR126" s="64" t="n">
        <v>0.7</v>
      </c>
      <c r="AS126" s="64" t="n">
        <v>85.3</v>
      </c>
      <c r="AT126" s="64" t="n">
        <v>6</v>
      </c>
      <c r="AU126" s="64"/>
      <c r="AV126" s="64"/>
      <c r="AW126" s="64" t="n">
        <v>0.2</v>
      </c>
      <c r="AX126" s="64"/>
      <c r="AY126" s="64"/>
      <c r="AZ126" s="64"/>
      <c r="BA126" s="64" t="n">
        <f aca="false">AL126/SUM($AL126:$AQ126)</f>
        <v>0</v>
      </c>
      <c r="BB126" s="64" t="n">
        <f aca="false">AM126/SUM($AL126:$AQ126)</f>
        <v>0</v>
      </c>
      <c r="BC126" s="64" t="n">
        <f aca="false">AN126/SUM($AL126:$AQ126)</f>
        <v>0</v>
      </c>
      <c r="BD126" s="64" t="n">
        <f aca="false">AO126/SUM($AL126:$AQ126)</f>
        <v>0</v>
      </c>
      <c r="BE126" s="64" t="n">
        <f aca="false">AP126/SUM($AL126:$AQ126)</f>
        <v>1</v>
      </c>
      <c r="BF126" s="64" t="n">
        <f aca="false">AQ126/SUM($AL126:$AQ126)</f>
        <v>0</v>
      </c>
      <c r="BG126" s="65" t="e">
        <f aca="false">#N/A</f>
        <v>#N/A</v>
      </c>
      <c r="BH126" s="37" t="s">
        <v>393</v>
      </c>
      <c r="BI126" s="37" t="s">
        <v>564</v>
      </c>
      <c r="BJ126" s="37" t="s">
        <v>751</v>
      </c>
      <c r="BK126" s="40" t="s">
        <v>4</v>
      </c>
      <c r="BL126" s="40" t="s">
        <v>4</v>
      </c>
      <c r="BM126" s="37" t="s">
        <v>397</v>
      </c>
      <c r="BN126" s="37" t="s">
        <v>397</v>
      </c>
      <c r="BO126" s="37" t="s">
        <v>595</v>
      </c>
      <c r="BP126" s="37" t="s">
        <v>397</v>
      </c>
      <c r="BQ126" s="37" t="s">
        <v>397</v>
      </c>
      <c r="BR126" s="37"/>
      <c r="BS126" s="37"/>
      <c r="BT126" s="37" t="s">
        <v>316</v>
      </c>
      <c r="BU126" s="37" t="s">
        <v>752</v>
      </c>
      <c r="BV126" s="37" t="s">
        <v>317</v>
      </c>
      <c r="BW126" s="37" t="s">
        <v>402</v>
      </c>
    </row>
    <row r="127" customFormat="false" ht="14.9" hidden="false" customHeight="false" outlineLevel="0" collapsed="false">
      <c r="A127" s="37" t="s">
        <v>777</v>
      </c>
      <c r="B127" s="62" t="s">
        <v>313</v>
      </c>
      <c r="C127" s="37" t="s">
        <v>745</v>
      </c>
      <c r="D127" s="37" t="n">
        <f aca="false">INDEX(Strain_IDs!C:C,MATCH(Table1[[#This Row],[Strains]],Strain_IDs!D:D,0))</f>
        <v>25.1</v>
      </c>
      <c r="E127" s="37" t="s">
        <v>382</v>
      </c>
      <c r="F127" s="37" t="s">
        <v>23</v>
      </c>
      <c r="G127" s="37" t="s">
        <v>24</v>
      </c>
      <c r="H127" s="37" t="s">
        <v>22</v>
      </c>
      <c r="I127" s="37" t="s">
        <v>557</v>
      </c>
      <c r="J127" s="37" t="s">
        <v>746</v>
      </c>
      <c r="K127" s="37" t="s">
        <v>382</v>
      </c>
      <c r="L127" s="37" t="s">
        <v>34</v>
      </c>
      <c r="M127" s="37" t="s">
        <v>559</v>
      </c>
      <c r="N127" s="37" t="s">
        <v>22</v>
      </c>
      <c r="O127" s="37" t="s">
        <v>557</v>
      </c>
      <c r="P127" s="37" t="s">
        <v>747</v>
      </c>
      <c r="Q127" s="37" t="s">
        <v>748</v>
      </c>
      <c r="R127" s="37" t="s">
        <v>270</v>
      </c>
      <c r="S127" s="37" t="s">
        <v>270</v>
      </c>
      <c r="T127" s="37" t="s">
        <v>387</v>
      </c>
      <c r="U127" s="37"/>
      <c r="V127" s="37" t="s">
        <v>749</v>
      </c>
      <c r="W127" s="37" t="s">
        <v>778</v>
      </c>
      <c r="X127" s="37" t="n">
        <v>81</v>
      </c>
      <c r="Y127" s="37"/>
      <c r="Z127" s="37" t="n">
        <v>3</v>
      </c>
      <c r="AB127" s="37"/>
      <c r="AC127" s="37" t="n">
        <v>38</v>
      </c>
      <c r="AD127" s="37"/>
      <c r="AE127" s="37"/>
      <c r="AF127" s="37" t="s">
        <v>770</v>
      </c>
      <c r="AG127" s="62" t="s">
        <v>446</v>
      </c>
      <c r="AH127" s="63"/>
      <c r="AI127" s="62"/>
      <c r="AJ127" s="37" t="s">
        <v>607</v>
      </c>
      <c r="AK127" s="37" t="n">
        <f aca="false">SUM(Table1[[#This Row],[reported_1302]:[reported_1286_iso]])</f>
        <v>100</v>
      </c>
      <c r="AL127" s="64"/>
      <c r="AM127" s="64"/>
      <c r="AN127" s="64"/>
      <c r="AO127" s="64"/>
      <c r="AP127" s="64" t="n">
        <v>10.2</v>
      </c>
      <c r="AQ127" s="64"/>
      <c r="AR127" s="64" t="n">
        <v>0.5</v>
      </c>
      <c r="AS127" s="64" t="n">
        <v>85.3</v>
      </c>
      <c r="AT127" s="64" t="n">
        <v>3.8</v>
      </c>
      <c r="AU127" s="64"/>
      <c r="AV127" s="64"/>
      <c r="AW127" s="64" t="n">
        <v>0.2</v>
      </c>
      <c r="AX127" s="64"/>
      <c r="AY127" s="64"/>
      <c r="AZ127" s="64"/>
      <c r="BA127" s="64" t="n">
        <f aca="false">AL127/SUM($AL127:$AQ127)</f>
        <v>0</v>
      </c>
      <c r="BB127" s="64" t="n">
        <f aca="false">AM127/SUM($AL127:$AQ127)</f>
        <v>0</v>
      </c>
      <c r="BC127" s="64" t="n">
        <f aca="false">AN127/SUM($AL127:$AQ127)</f>
        <v>0</v>
      </c>
      <c r="BD127" s="64" t="n">
        <f aca="false">AO127/SUM($AL127:$AQ127)</f>
        <v>0</v>
      </c>
      <c r="BE127" s="64" t="n">
        <f aca="false">AP127/SUM($AL127:$AQ127)</f>
        <v>1</v>
      </c>
      <c r="BF127" s="64" t="n">
        <f aca="false">AQ127/SUM($AL127:$AQ127)</f>
        <v>0</v>
      </c>
      <c r="BG127" s="65" t="e">
        <f aca="false">#N/A</f>
        <v>#N/A</v>
      </c>
      <c r="BH127" s="37" t="s">
        <v>393</v>
      </c>
      <c r="BI127" s="37" t="s">
        <v>564</v>
      </c>
      <c r="BJ127" s="37" t="s">
        <v>751</v>
      </c>
      <c r="BK127" s="40" t="s">
        <v>4</v>
      </c>
      <c r="BL127" s="40" t="s">
        <v>4</v>
      </c>
      <c r="BM127" s="37" t="s">
        <v>397</v>
      </c>
      <c r="BN127" s="37" t="s">
        <v>397</v>
      </c>
      <c r="BO127" s="37" t="s">
        <v>595</v>
      </c>
      <c r="BP127" s="37" t="s">
        <v>397</v>
      </c>
      <c r="BQ127" s="37" t="s">
        <v>397</v>
      </c>
      <c r="BR127" s="37"/>
      <c r="BS127" s="37"/>
      <c r="BT127" s="37" t="s">
        <v>316</v>
      </c>
      <c r="BU127" s="37" t="s">
        <v>752</v>
      </c>
      <c r="BV127" s="37" t="s">
        <v>317</v>
      </c>
      <c r="BW127" s="37" t="s">
        <v>402</v>
      </c>
    </row>
    <row r="128" customFormat="false" ht="14.9" hidden="false" customHeight="false" outlineLevel="0" collapsed="false">
      <c r="A128" s="37" t="s">
        <v>779</v>
      </c>
      <c r="B128" s="62" t="s">
        <v>313</v>
      </c>
      <c r="C128" s="37" t="s">
        <v>745</v>
      </c>
      <c r="D128" s="37" t="n">
        <f aca="false">INDEX(Strain_IDs!C:C,MATCH(Table1[[#This Row],[Strains]],Strain_IDs!D:D,0))</f>
        <v>25.1</v>
      </c>
      <c r="E128" s="37" t="s">
        <v>382</v>
      </c>
      <c r="F128" s="37" t="s">
        <v>23</v>
      </c>
      <c r="G128" s="37" t="s">
        <v>24</v>
      </c>
      <c r="H128" s="37" t="s">
        <v>22</v>
      </c>
      <c r="I128" s="37" t="s">
        <v>557</v>
      </c>
      <c r="J128" s="37" t="s">
        <v>746</v>
      </c>
      <c r="K128" s="37" t="s">
        <v>382</v>
      </c>
      <c r="L128" s="37" t="s">
        <v>34</v>
      </c>
      <c r="M128" s="37" t="s">
        <v>559</v>
      </c>
      <c r="N128" s="37" t="s">
        <v>22</v>
      </c>
      <c r="O128" s="37" t="s">
        <v>557</v>
      </c>
      <c r="P128" s="37" t="s">
        <v>747</v>
      </c>
      <c r="Q128" s="37" t="s">
        <v>748</v>
      </c>
      <c r="R128" s="37" t="s">
        <v>270</v>
      </c>
      <c r="S128" s="37" t="s">
        <v>270</v>
      </c>
      <c r="T128" s="37" t="s">
        <v>387</v>
      </c>
      <c r="U128" s="37"/>
      <c r="V128" s="37" t="s">
        <v>749</v>
      </c>
      <c r="W128" s="37" t="s">
        <v>780</v>
      </c>
      <c r="X128" s="37" t="n">
        <v>81</v>
      </c>
      <c r="Y128" s="37"/>
      <c r="Z128" s="37" t="n">
        <v>3</v>
      </c>
      <c r="AB128" s="37"/>
      <c r="AC128" s="37" t="n">
        <v>55.7</v>
      </c>
      <c r="AD128" s="37"/>
      <c r="AE128" s="37"/>
      <c r="AF128" s="37" t="s">
        <v>770</v>
      </c>
      <c r="AG128" s="62" t="s">
        <v>446</v>
      </c>
      <c r="AH128" s="63"/>
      <c r="AI128" s="62"/>
      <c r="AJ128" s="37" t="s">
        <v>607</v>
      </c>
      <c r="AK128" s="37" t="n">
        <f aca="false">SUM(Table1[[#This Row],[reported_1302]:[reported_1286_iso]])</f>
        <v>100</v>
      </c>
      <c r="AL128" s="64"/>
      <c r="AM128" s="64"/>
      <c r="AN128" s="64"/>
      <c r="AO128" s="64"/>
      <c r="AP128" s="64" t="n">
        <v>6.9</v>
      </c>
      <c r="AQ128" s="64"/>
      <c r="AR128" s="64" t="n">
        <v>0.4</v>
      </c>
      <c r="AS128" s="64" t="n">
        <v>90.5</v>
      </c>
      <c r="AT128" s="64" t="n">
        <v>2.1</v>
      </c>
      <c r="AU128" s="64"/>
      <c r="AV128" s="64"/>
      <c r="AW128" s="64" t="n">
        <v>0.1</v>
      </c>
      <c r="AX128" s="64"/>
      <c r="AY128" s="64"/>
      <c r="AZ128" s="64"/>
      <c r="BA128" s="64" t="n">
        <f aca="false">AL128/SUM($AL128:$AQ128)</f>
        <v>0</v>
      </c>
      <c r="BB128" s="64" t="n">
        <f aca="false">AM128/SUM($AL128:$AQ128)</f>
        <v>0</v>
      </c>
      <c r="BC128" s="64" t="n">
        <f aca="false">AN128/SUM($AL128:$AQ128)</f>
        <v>0</v>
      </c>
      <c r="BD128" s="64" t="n">
        <f aca="false">AO128/SUM($AL128:$AQ128)</f>
        <v>0</v>
      </c>
      <c r="BE128" s="64" t="n">
        <f aca="false">AP128/SUM($AL128:$AQ128)</f>
        <v>1</v>
      </c>
      <c r="BF128" s="64" t="n">
        <f aca="false">AQ128/SUM($AL128:$AQ128)</f>
        <v>0</v>
      </c>
      <c r="BG128" s="65" t="e">
        <f aca="false">#N/A</f>
        <v>#N/A</v>
      </c>
      <c r="BH128" s="37" t="s">
        <v>393</v>
      </c>
      <c r="BI128" s="37" t="s">
        <v>564</v>
      </c>
      <c r="BJ128" s="37" t="s">
        <v>751</v>
      </c>
      <c r="BK128" s="40" t="s">
        <v>4</v>
      </c>
      <c r="BL128" s="40" t="s">
        <v>4</v>
      </c>
      <c r="BM128" s="37" t="s">
        <v>397</v>
      </c>
      <c r="BN128" s="37" t="s">
        <v>397</v>
      </c>
      <c r="BO128" s="37" t="s">
        <v>595</v>
      </c>
      <c r="BP128" s="37" t="s">
        <v>397</v>
      </c>
      <c r="BQ128" s="37" t="s">
        <v>397</v>
      </c>
      <c r="BR128" s="37"/>
      <c r="BS128" s="37"/>
      <c r="BT128" s="37" t="s">
        <v>316</v>
      </c>
      <c r="BU128" s="37" t="s">
        <v>752</v>
      </c>
      <c r="BV128" s="37" t="s">
        <v>317</v>
      </c>
      <c r="BW128" s="37" t="s">
        <v>402</v>
      </c>
    </row>
    <row r="129" customFormat="false" ht="14.9" hidden="false" customHeight="false" outlineLevel="0" collapsed="false">
      <c r="A129" s="37" t="s">
        <v>781</v>
      </c>
      <c r="B129" s="62" t="s">
        <v>287</v>
      </c>
      <c r="C129" s="37" t="s">
        <v>782</v>
      </c>
      <c r="D129" s="37" t="n">
        <f aca="false">INDEX(Strain_IDs!C:C,MATCH(Table1[[#This Row],[Strains]],Strain_IDs!D:D,0))</f>
        <v>24</v>
      </c>
      <c r="E129" s="37" t="s">
        <v>783</v>
      </c>
      <c r="F129" s="37" t="s">
        <v>30</v>
      </c>
      <c r="G129" s="37" t="s">
        <v>31</v>
      </c>
      <c r="H129" s="37" t="s">
        <v>784</v>
      </c>
      <c r="I129" s="37" t="s">
        <v>785</v>
      </c>
      <c r="J129" s="37"/>
      <c r="K129" s="37" t="s">
        <v>786</v>
      </c>
      <c r="L129" s="37" t="s">
        <v>30</v>
      </c>
      <c r="M129" s="37" t="s">
        <v>31</v>
      </c>
      <c r="N129" s="37" t="s">
        <v>29</v>
      </c>
      <c r="O129" s="37" t="s">
        <v>785</v>
      </c>
      <c r="P129" s="37"/>
      <c r="Q129" s="37" t="s">
        <v>787</v>
      </c>
      <c r="R129" s="37" t="s">
        <v>290</v>
      </c>
      <c r="S129" s="37" t="s">
        <v>290</v>
      </c>
      <c r="T129" s="37" t="s">
        <v>387</v>
      </c>
      <c r="U129" s="37"/>
      <c r="V129" s="37"/>
      <c r="W129" s="37" t="s">
        <v>788</v>
      </c>
      <c r="X129" s="37" t="n">
        <v>53</v>
      </c>
      <c r="Y129" s="37"/>
      <c r="Z129" s="37" t="n">
        <v>0.7</v>
      </c>
      <c r="AB129" s="37"/>
      <c r="AC129" s="37"/>
      <c r="AD129" s="37"/>
      <c r="AE129" s="37" t="s">
        <v>789</v>
      </c>
      <c r="AF129" s="37" t="s">
        <v>389</v>
      </c>
      <c r="AG129" s="62" t="s">
        <v>446</v>
      </c>
      <c r="AH129" s="63"/>
      <c r="AI129" s="62"/>
      <c r="AJ129" s="37" t="s">
        <v>790</v>
      </c>
      <c r="AK129" s="37" t="n">
        <f aca="false">SUM(Table1[[#This Row],[reported_1302]:[reported_1286_iso]])</f>
        <v>100</v>
      </c>
      <c r="AL129" s="64" t="n">
        <v>44.19</v>
      </c>
      <c r="AM129" s="64" t="n">
        <v>6.6</v>
      </c>
      <c r="AN129" s="64" t="n">
        <v>22.97</v>
      </c>
      <c r="AO129" s="64" t="n">
        <v>5.69</v>
      </c>
      <c r="AP129" s="64" t="n">
        <v>6.39</v>
      </c>
      <c r="AQ129" s="64"/>
      <c r="AR129" s="64" t="n">
        <v>13.34</v>
      </c>
      <c r="AS129" s="64" t="n">
        <v>0.73</v>
      </c>
      <c r="AT129" s="64" t="n">
        <v>0.08</v>
      </c>
      <c r="AU129" s="64" t="n">
        <v>0.01</v>
      </c>
      <c r="AV129" s="64"/>
      <c r="AW129" s="64"/>
      <c r="AX129" s="64"/>
      <c r="AY129" s="64"/>
      <c r="AZ129" s="64"/>
      <c r="BA129" s="64" t="n">
        <f aca="false">AL129/SUM($AL129:$AQ129)</f>
        <v>0.514794967381174</v>
      </c>
      <c r="BB129" s="64" t="n">
        <f aca="false">AM129/SUM($AL129:$AQ129)</f>
        <v>0.0768872320596458</v>
      </c>
      <c r="BC129" s="64" t="n">
        <f aca="false">AN129/SUM($AL129:$AQ129)</f>
        <v>0.267590866728798</v>
      </c>
      <c r="BD129" s="64" t="n">
        <f aca="false">AO129/SUM($AL129:$AQ129)</f>
        <v>0.0662861136999068</v>
      </c>
      <c r="BE129" s="64" t="n">
        <f aca="false">AP129/SUM($AL129:$AQ129)</f>
        <v>0.0744408201304753</v>
      </c>
      <c r="BF129" s="64" t="n">
        <f aca="false">AQ129/SUM($AL129:$AQ129)</f>
        <v>0</v>
      </c>
      <c r="BG129" s="65" t="e">
        <f aca="false">#N/A</f>
        <v>#N/A</v>
      </c>
      <c r="BH129" s="37" t="s">
        <v>393</v>
      </c>
      <c r="BI129" s="37" t="s">
        <v>564</v>
      </c>
      <c r="BJ129" s="37" t="s">
        <v>791</v>
      </c>
      <c r="BK129" s="40" t="s">
        <v>4</v>
      </c>
      <c r="BL129" s="40" t="s">
        <v>4</v>
      </c>
      <c r="BM129" s="37" t="s">
        <v>397</v>
      </c>
      <c r="BN129" s="37" t="s">
        <v>397</v>
      </c>
      <c r="BO129" s="37" t="s">
        <v>595</v>
      </c>
      <c r="BP129" s="37" t="s">
        <v>397</v>
      </c>
      <c r="BQ129" s="37" t="s">
        <v>399</v>
      </c>
      <c r="BR129" s="37"/>
      <c r="BS129" s="37"/>
      <c r="BT129" s="37" t="s">
        <v>294</v>
      </c>
      <c r="BU129" s="37" t="s">
        <v>792</v>
      </c>
      <c r="BV129" s="72" t="s">
        <v>295</v>
      </c>
      <c r="BW129" s="37" t="s">
        <v>402</v>
      </c>
    </row>
    <row r="130" customFormat="false" ht="14.9" hidden="false" customHeight="false" outlineLevel="0" collapsed="false">
      <c r="A130" s="37" t="s">
        <v>793</v>
      </c>
      <c r="B130" s="62" t="s">
        <v>287</v>
      </c>
      <c r="C130" s="37" t="s">
        <v>782</v>
      </c>
      <c r="D130" s="37" t="n">
        <f aca="false">INDEX(Strain_IDs!C:C,MATCH(Table1[[#This Row],[Strains]],Strain_IDs!D:D,0))</f>
        <v>24</v>
      </c>
      <c r="E130" s="37" t="s">
        <v>783</v>
      </c>
      <c r="F130" s="37" t="s">
        <v>30</v>
      </c>
      <c r="G130" s="37" t="s">
        <v>31</v>
      </c>
      <c r="H130" s="37" t="s">
        <v>784</v>
      </c>
      <c r="I130" s="37" t="s">
        <v>785</v>
      </c>
      <c r="J130" s="37"/>
      <c r="K130" s="37" t="s">
        <v>786</v>
      </c>
      <c r="L130" s="37" t="s">
        <v>30</v>
      </c>
      <c r="M130" s="37" t="s">
        <v>31</v>
      </c>
      <c r="N130" s="37" t="s">
        <v>29</v>
      </c>
      <c r="O130" s="37" t="s">
        <v>785</v>
      </c>
      <c r="P130" s="37"/>
      <c r="Q130" s="37" t="s">
        <v>787</v>
      </c>
      <c r="R130" s="37" t="s">
        <v>290</v>
      </c>
      <c r="S130" s="37" t="s">
        <v>290</v>
      </c>
      <c r="T130" s="37" t="s">
        <v>387</v>
      </c>
      <c r="U130" s="37"/>
      <c r="V130" s="37"/>
      <c r="W130" s="37" t="s">
        <v>794</v>
      </c>
      <c r="X130" s="37" t="n">
        <v>58</v>
      </c>
      <c r="Y130" s="37"/>
      <c r="Z130" s="37" t="n">
        <v>0.7</v>
      </c>
      <c r="AB130" s="37"/>
      <c r="AC130" s="37"/>
      <c r="AD130" s="37"/>
      <c r="AE130" s="37" t="s">
        <v>789</v>
      </c>
      <c r="AF130" s="37" t="s">
        <v>389</v>
      </c>
      <c r="AG130" s="62" t="s">
        <v>446</v>
      </c>
      <c r="AH130" s="63"/>
      <c r="AI130" s="62"/>
      <c r="AJ130" s="37" t="s">
        <v>790</v>
      </c>
      <c r="AK130" s="37" t="n">
        <f aca="false">SUM(Table1[[#This Row],[reported_1302]:[reported_1286_iso]])</f>
        <v>100</v>
      </c>
      <c r="AL130" s="64" t="n">
        <v>28.49</v>
      </c>
      <c r="AM130" s="64" t="n">
        <v>8.57</v>
      </c>
      <c r="AN130" s="64" t="n">
        <v>27.83</v>
      </c>
      <c r="AO130" s="64" t="n">
        <v>9.73</v>
      </c>
      <c r="AP130" s="64" t="n">
        <v>6</v>
      </c>
      <c r="AQ130" s="64"/>
      <c r="AR130" s="64" t="n">
        <v>18.64</v>
      </c>
      <c r="AS130" s="64" t="n">
        <v>0.63</v>
      </c>
      <c r="AT130" s="64" t="n">
        <v>0.1</v>
      </c>
      <c r="AU130" s="64" t="n">
        <v>0.01</v>
      </c>
      <c r="AV130" s="64"/>
      <c r="AW130" s="64"/>
      <c r="AX130" s="64"/>
      <c r="AY130" s="64"/>
      <c r="AZ130" s="64"/>
      <c r="BA130" s="64" t="n">
        <f aca="false">AL130/SUM($AL130:$AQ130)</f>
        <v>0.353386256512032</v>
      </c>
      <c r="BB130" s="64" t="n">
        <f aca="false">AM130/SUM($AL130:$AQ130)</f>
        <v>0.106301165963781</v>
      </c>
      <c r="BC130" s="64" t="n">
        <f aca="false">AN130/SUM($AL130:$AQ130)</f>
        <v>0.34519970230712</v>
      </c>
      <c r="BD130" s="64" t="n">
        <f aca="false">AO130/SUM($AL130:$AQ130)</f>
        <v>0.120689655172414</v>
      </c>
      <c r="BE130" s="64" t="n">
        <f aca="false">AP130/SUM($AL130:$AQ130)</f>
        <v>0.0744232200446539</v>
      </c>
      <c r="BF130" s="64" t="n">
        <f aca="false">AQ130/SUM($AL130:$AQ130)</f>
        <v>0</v>
      </c>
      <c r="BG130" s="65" t="e">
        <f aca="false">#N/A</f>
        <v>#N/A</v>
      </c>
      <c r="BH130" s="37" t="s">
        <v>393</v>
      </c>
      <c r="BI130" s="37" t="s">
        <v>564</v>
      </c>
      <c r="BJ130" s="37" t="s">
        <v>791</v>
      </c>
      <c r="BK130" s="40" t="s">
        <v>4</v>
      </c>
      <c r="BL130" s="40" t="s">
        <v>4</v>
      </c>
      <c r="BM130" s="37" t="s">
        <v>397</v>
      </c>
      <c r="BN130" s="37" t="s">
        <v>397</v>
      </c>
      <c r="BO130" s="37" t="s">
        <v>595</v>
      </c>
      <c r="BP130" s="37" t="s">
        <v>397</v>
      </c>
      <c r="BQ130" s="37" t="s">
        <v>399</v>
      </c>
      <c r="BR130" s="37"/>
      <c r="BS130" s="37"/>
      <c r="BT130" s="37" t="s">
        <v>294</v>
      </c>
      <c r="BU130" s="37" t="s">
        <v>792</v>
      </c>
      <c r="BV130" s="72" t="s">
        <v>295</v>
      </c>
      <c r="BW130" s="37" t="s">
        <v>402</v>
      </c>
    </row>
    <row r="131" customFormat="false" ht="14.9" hidden="false" customHeight="false" outlineLevel="0" collapsed="false">
      <c r="A131" s="37" t="s">
        <v>795</v>
      </c>
      <c r="B131" s="62" t="s">
        <v>287</v>
      </c>
      <c r="C131" s="37" t="s">
        <v>782</v>
      </c>
      <c r="D131" s="37" t="n">
        <f aca="false">INDEX(Strain_IDs!C:C,MATCH(Table1[[#This Row],[Strains]],Strain_IDs!D:D,0))</f>
        <v>24</v>
      </c>
      <c r="E131" s="37" t="s">
        <v>783</v>
      </c>
      <c r="F131" s="37" t="s">
        <v>30</v>
      </c>
      <c r="G131" s="37" t="s">
        <v>31</v>
      </c>
      <c r="H131" s="37" t="s">
        <v>784</v>
      </c>
      <c r="I131" s="37" t="s">
        <v>785</v>
      </c>
      <c r="J131" s="37"/>
      <c r="K131" s="37" t="s">
        <v>786</v>
      </c>
      <c r="L131" s="37" t="s">
        <v>30</v>
      </c>
      <c r="M131" s="37" t="s">
        <v>31</v>
      </c>
      <c r="N131" s="37" t="s">
        <v>29</v>
      </c>
      <c r="O131" s="37" t="s">
        <v>785</v>
      </c>
      <c r="P131" s="37"/>
      <c r="Q131" s="37" t="s">
        <v>787</v>
      </c>
      <c r="R131" s="37" t="s">
        <v>290</v>
      </c>
      <c r="S131" s="37" t="s">
        <v>290</v>
      </c>
      <c r="T131" s="37" t="s">
        <v>387</v>
      </c>
      <c r="U131" s="37"/>
      <c r="V131" s="37"/>
      <c r="W131" s="37" t="s">
        <v>796</v>
      </c>
      <c r="X131" s="37" t="n">
        <v>63</v>
      </c>
      <c r="Y131" s="37"/>
      <c r="Z131" s="37" t="n">
        <v>0.7</v>
      </c>
      <c r="AB131" s="37"/>
      <c r="AC131" s="37"/>
      <c r="AD131" s="37"/>
      <c r="AE131" s="37" t="s">
        <v>789</v>
      </c>
      <c r="AF131" s="37" t="s">
        <v>389</v>
      </c>
      <c r="AG131" s="62" t="s">
        <v>446</v>
      </c>
      <c r="AH131" s="63"/>
      <c r="AI131" s="62"/>
      <c r="AJ131" s="37" t="s">
        <v>790</v>
      </c>
      <c r="AK131" s="37" t="n">
        <f aca="false">SUM(Table1[[#This Row],[reported_1302]:[reported_1286_iso]])</f>
        <v>100</v>
      </c>
      <c r="AL131" s="64" t="n">
        <v>31.42</v>
      </c>
      <c r="AM131" s="64" t="n">
        <v>7.62</v>
      </c>
      <c r="AN131" s="64" t="n">
        <v>23.92</v>
      </c>
      <c r="AO131" s="64" t="n">
        <v>9.39</v>
      </c>
      <c r="AP131" s="64" t="n">
        <v>8.13</v>
      </c>
      <c r="AQ131" s="64"/>
      <c r="AR131" s="64" t="n">
        <v>18.18</v>
      </c>
      <c r="AS131" s="64" t="n">
        <v>1.13</v>
      </c>
      <c r="AT131" s="64" t="n">
        <v>0.2</v>
      </c>
      <c r="AU131" s="64" t="n">
        <v>0.01</v>
      </c>
      <c r="AV131" s="64"/>
      <c r="AW131" s="64"/>
      <c r="AX131" s="64"/>
      <c r="AY131" s="64"/>
      <c r="AZ131" s="64"/>
      <c r="BA131" s="64" t="n">
        <f aca="false">AL131/SUM($AL131:$AQ131)</f>
        <v>0.390407554671968</v>
      </c>
      <c r="BB131" s="64" t="n">
        <f aca="false">AM131/SUM($AL131:$AQ131)</f>
        <v>0.0946819085487078</v>
      </c>
      <c r="BC131" s="64" t="n">
        <f aca="false">AN131/SUM($AL131:$AQ131)</f>
        <v>0.297216699801193</v>
      </c>
      <c r="BD131" s="64" t="n">
        <f aca="false">AO131/SUM($AL131:$AQ131)</f>
        <v>0.116674950298211</v>
      </c>
      <c r="BE131" s="64" t="n">
        <f aca="false">AP131/SUM($AL131:$AQ131)</f>
        <v>0.10101888667992</v>
      </c>
      <c r="BF131" s="64" t="n">
        <f aca="false">AQ131/SUM($AL131:$AQ131)</f>
        <v>0</v>
      </c>
      <c r="BG131" s="65" t="e">
        <f aca="false">#N/A</f>
        <v>#N/A</v>
      </c>
      <c r="BH131" s="37" t="s">
        <v>393</v>
      </c>
      <c r="BI131" s="37" t="s">
        <v>564</v>
      </c>
      <c r="BJ131" s="37" t="s">
        <v>791</v>
      </c>
      <c r="BK131" s="40" t="s">
        <v>4</v>
      </c>
      <c r="BL131" s="40" t="s">
        <v>4</v>
      </c>
      <c r="BM131" s="37" t="s">
        <v>397</v>
      </c>
      <c r="BN131" s="37" t="s">
        <v>397</v>
      </c>
      <c r="BO131" s="37" t="s">
        <v>595</v>
      </c>
      <c r="BP131" s="37" t="s">
        <v>397</v>
      </c>
      <c r="BQ131" s="37" t="s">
        <v>399</v>
      </c>
      <c r="BR131" s="37"/>
      <c r="BS131" s="37"/>
      <c r="BT131" s="37" t="s">
        <v>294</v>
      </c>
      <c r="BU131" s="37" t="s">
        <v>792</v>
      </c>
      <c r="BV131" s="72" t="s">
        <v>295</v>
      </c>
      <c r="BW131" s="37" t="s">
        <v>402</v>
      </c>
    </row>
    <row r="132" customFormat="false" ht="14.9" hidden="false" customHeight="false" outlineLevel="0" collapsed="false">
      <c r="A132" s="37" t="s">
        <v>797</v>
      </c>
      <c r="B132" s="62" t="s">
        <v>287</v>
      </c>
      <c r="C132" s="37" t="s">
        <v>782</v>
      </c>
      <c r="D132" s="37" t="n">
        <f aca="false">INDEX(Strain_IDs!C:C,MATCH(Table1[[#This Row],[Strains]],Strain_IDs!D:D,0))</f>
        <v>24</v>
      </c>
      <c r="E132" s="37" t="s">
        <v>783</v>
      </c>
      <c r="F132" s="37" t="s">
        <v>30</v>
      </c>
      <c r="G132" s="37" t="s">
        <v>31</v>
      </c>
      <c r="H132" s="37" t="s">
        <v>784</v>
      </c>
      <c r="I132" s="37" t="s">
        <v>785</v>
      </c>
      <c r="J132" s="37"/>
      <c r="K132" s="37" t="s">
        <v>786</v>
      </c>
      <c r="L132" s="37" t="s">
        <v>30</v>
      </c>
      <c r="M132" s="37" t="s">
        <v>31</v>
      </c>
      <c r="N132" s="37" t="s">
        <v>29</v>
      </c>
      <c r="O132" s="37" t="s">
        <v>785</v>
      </c>
      <c r="P132" s="37"/>
      <c r="Q132" s="37" t="s">
        <v>787</v>
      </c>
      <c r="R132" s="37" t="s">
        <v>290</v>
      </c>
      <c r="S132" s="37" t="s">
        <v>290</v>
      </c>
      <c r="T132" s="37" t="s">
        <v>387</v>
      </c>
      <c r="U132" s="37"/>
      <c r="V132" s="37"/>
      <c r="W132" s="37" t="s">
        <v>798</v>
      </c>
      <c r="X132" s="37" t="n">
        <v>53</v>
      </c>
      <c r="Y132" s="37"/>
      <c r="Z132" s="37" t="n">
        <v>0.7</v>
      </c>
      <c r="AB132" s="37"/>
      <c r="AC132" s="37"/>
      <c r="AD132" s="37"/>
      <c r="AE132" s="37" t="s">
        <v>789</v>
      </c>
      <c r="AF132" s="37" t="s">
        <v>389</v>
      </c>
      <c r="AG132" s="62" t="s">
        <v>390</v>
      </c>
      <c r="AH132" s="63"/>
      <c r="AI132" s="62"/>
      <c r="AJ132" s="37" t="s">
        <v>790</v>
      </c>
      <c r="AK132" s="37" t="n">
        <f aca="false">SUM(Table1[[#This Row],[reported_1302]:[reported_1286_iso]])</f>
        <v>100</v>
      </c>
      <c r="AL132" s="64" t="n">
        <v>28.48</v>
      </c>
      <c r="AM132" s="64" t="n">
        <v>10.91</v>
      </c>
      <c r="AN132" s="64" t="n">
        <v>36.34</v>
      </c>
      <c r="AO132" s="64" t="n">
        <v>8.01</v>
      </c>
      <c r="AP132" s="64" t="n">
        <v>4.53</v>
      </c>
      <c r="AQ132" s="64"/>
      <c r="AR132" s="64" t="n">
        <v>11.18</v>
      </c>
      <c r="AS132" s="64" t="n">
        <v>0.49</v>
      </c>
      <c r="AT132" s="64" t="n">
        <v>0.05</v>
      </c>
      <c r="AU132" s="64" t="n">
        <v>0.01</v>
      </c>
      <c r="AV132" s="64"/>
      <c r="AW132" s="64"/>
      <c r="AX132" s="64"/>
      <c r="AY132" s="64"/>
      <c r="AZ132" s="64"/>
      <c r="BA132" s="64" t="n">
        <f aca="false">AL132/SUM($AL132:$AQ132)</f>
        <v>0.322646425739209</v>
      </c>
      <c r="BB132" s="64" t="n">
        <f aca="false">AM132/SUM($AL132:$AQ132)</f>
        <v>0.123598051433103</v>
      </c>
      <c r="BC132" s="64" t="n">
        <f aca="false">AN132/SUM($AL132:$AQ132)</f>
        <v>0.411691401382123</v>
      </c>
      <c r="BD132" s="64" t="n">
        <f aca="false">AO132/SUM($AL132:$AQ132)</f>
        <v>0.0907443072391526</v>
      </c>
      <c r="BE132" s="64" t="n">
        <f aca="false">AP132/SUM($AL132:$AQ132)</f>
        <v>0.0513198142064121</v>
      </c>
      <c r="BF132" s="64" t="n">
        <f aca="false">AQ132/SUM($AL132:$AQ132)</f>
        <v>0</v>
      </c>
      <c r="BG132" s="65" t="e">
        <f aca="false">#N/A</f>
        <v>#N/A</v>
      </c>
      <c r="BH132" s="37" t="s">
        <v>393</v>
      </c>
      <c r="BI132" s="37" t="s">
        <v>564</v>
      </c>
      <c r="BJ132" s="37" t="s">
        <v>791</v>
      </c>
      <c r="BK132" s="40" t="s">
        <v>4</v>
      </c>
      <c r="BL132" s="40" t="s">
        <v>4</v>
      </c>
      <c r="BM132" s="37" t="s">
        <v>397</v>
      </c>
      <c r="BN132" s="37" t="s">
        <v>397</v>
      </c>
      <c r="BO132" s="37" t="s">
        <v>595</v>
      </c>
      <c r="BP132" s="37" t="s">
        <v>397</v>
      </c>
      <c r="BQ132" s="37" t="s">
        <v>399</v>
      </c>
      <c r="BR132" s="37"/>
      <c r="BS132" s="37"/>
      <c r="BT132" s="37" t="s">
        <v>294</v>
      </c>
      <c r="BU132" s="37" t="s">
        <v>792</v>
      </c>
      <c r="BV132" s="72" t="s">
        <v>295</v>
      </c>
      <c r="BW132" s="37" t="s">
        <v>402</v>
      </c>
    </row>
    <row r="133" customFormat="false" ht="14.9" hidden="false" customHeight="false" outlineLevel="0" collapsed="false">
      <c r="A133" s="37" t="s">
        <v>799</v>
      </c>
      <c r="B133" s="62" t="s">
        <v>287</v>
      </c>
      <c r="C133" s="37" t="s">
        <v>782</v>
      </c>
      <c r="D133" s="37" t="n">
        <f aca="false">INDEX(Strain_IDs!C:C,MATCH(Table1[[#This Row],[Strains]],Strain_IDs!D:D,0))</f>
        <v>24</v>
      </c>
      <c r="E133" s="37" t="s">
        <v>783</v>
      </c>
      <c r="F133" s="37" t="s">
        <v>30</v>
      </c>
      <c r="G133" s="37" t="s">
        <v>31</v>
      </c>
      <c r="H133" s="37" t="s">
        <v>784</v>
      </c>
      <c r="I133" s="37" t="s">
        <v>785</v>
      </c>
      <c r="J133" s="37"/>
      <c r="K133" s="37" t="s">
        <v>786</v>
      </c>
      <c r="L133" s="37" t="s">
        <v>30</v>
      </c>
      <c r="M133" s="37" t="s">
        <v>31</v>
      </c>
      <c r="N133" s="37" t="s">
        <v>29</v>
      </c>
      <c r="O133" s="37" t="s">
        <v>785</v>
      </c>
      <c r="P133" s="37"/>
      <c r="Q133" s="37" t="s">
        <v>787</v>
      </c>
      <c r="R133" s="37" t="s">
        <v>290</v>
      </c>
      <c r="S133" s="37" t="s">
        <v>290</v>
      </c>
      <c r="T133" s="37" t="s">
        <v>387</v>
      </c>
      <c r="U133" s="37"/>
      <c r="V133" s="37"/>
      <c r="W133" s="37" t="s">
        <v>800</v>
      </c>
      <c r="X133" s="37" t="n">
        <v>58</v>
      </c>
      <c r="Y133" s="37"/>
      <c r="Z133" s="37" t="n">
        <v>0.7</v>
      </c>
      <c r="AB133" s="37"/>
      <c r="AC133" s="37"/>
      <c r="AD133" s="37"/>
      <c r="AE133" s="37" t="s">
        <v>789</v>
      </c>
      <c r="AF133" s="37" t="s">
        <v>389</v>
      </c>
      <c r="AG133" s="62" t="s">
        <v>390</v>
      </c>
      <c r="AH133" s="63"/>
      <c r="AI133" s="62"/>
      <c r="AJ133" s="37" t="s">
        <v>790</v>
      </c>
      <c r="AK133" s="37" t="n">
        <f aca="false">SUM(Table1[[#This Row],[reported_1302]:[reported_1286_iso]])</f>
        <v>100.01</v>
      </c>
      <c r="AL133" s="64" t="n">
        <v>21.41</v>
      </c>
      <c r="AM133" s="64" t="n">
        <v>11.45</v>
      </c>
      <c r="AN133" s="64" t="n">
        <v>37.83</v>
      </c>
      <c r="AO133" s="64" t="n">
        <v>11.78</v>
      </c>
      <c r="AP133" s="64" t="n">
        <v>3.34</v>
      </c>
      <c r="AQ133" s="64"/>
      <c r="AR133" s="64" t="n">
        <v>13.83</v>
      </c>
      <c r="AS133" s="64" t="n">
        <v>0.32</v>
      </c>
      <c r="AT133" s="64" t="n">
        <v>0.04</v>
      </c>
      <c r="AU133" s="64" t="n">
        <v>0.01</v>
      </c>
      <c r="AV133" s="64"/>
      <c r="AW133" s="64"/>
      <c r="AX133" s="64"/>
      <c r="AY133" s="64"/>
      <c r="AZ133" s="64"/>
      <c r="BA133" s="64" t="n">
        <f aca="false">AL133/SUM($AL133:$AQ133)</f>
        <v>0.249504719729635</v>
      </c>
      <c r="BB133" s="64" t="n">
        <f aca="false">AM133/SUM($AL133:$AQ133)</f>
        <v>0.133434331662976</v>
      </c>
      <c r="BC133" s="64" t="n">
        <f aca="false">AN133/SUM($AL133:$AQ133)</f>
        <v>0.440857708891738</v>
      </c>
      <c r="BD133" s="64" t="n">
        <f aca="false">AO133/SUM($AL133:$AQ133)</f>
        <v>0.137280037291691</v>
      </c>
      <c r="BE133" s="64" t="n">
        <f aca="false">AP133/SUM($AL133:$AQ133)</f>
        <v>0.0389232024239599</v>
      </c>
      <c r="BF133" s="64" t="n">
        <f aca="false">AQ133/SUM($AL133:$AQ133)</f>
        <v>0</v>
      </c>
      <c r="BG133" s="65" t="e">
        <f aca="false">#N/A</f>
        <v>#N/A</v>
      </c>
      <c r="BH133" s="37" t="s">
        <v>393</v>
      </c>
      <c r="BI133" s="37" t="s">
        <v>564</v>
      </c>
      <c r="BJ133" s="37" t="s">
        <v>791</v>
      </c>
      <c r="BK133" s="40" t="s">
        <v>4</v>
      </c>
      <c r="BL133" s="40" t="s">
        <v>4</v>
      </c>
      <c r="BM133" s="37" t="s">
        <v>397</v>
      </c>
      <c r="BN133" s="37" t="s">
        <v>397</v>
      </c>
      <c r="BO133" s="37" t="s">
        <v>595</v>
      </c>
      <c r="BP133" s="37" t="s">
        <v>397</v>
      </c>
      <c r="BQ133" s="37" t="s">
        <v>399</v>
      </c>
      <c r="BR133" s="37"/>
      <c r="BS133" s="37"/>
      <c r="BT133" s="37" t="s">
        <v>294</v>
      </c>
      <c r="BU133" s="37" t="s">
        <v>792</v>
      </c>
      <c r="BV133" s="72" t="s">
        <v>295</v>
      </c>
      <c r="BW133" s="37" t="s">
        <v>402</v>
      </c>
    </row>
    <row r="134" customFormat="false" ht="14.9" hidden="false" customHeight="false" outlineLevel="0" collapsed="false">
      <c r="A134" s="37" t="s">
        <v>801</v>
      </c>
      <c r="B134" s="62" t="s">
        <v>287</v>
      </c>
      <c r="C134" s="37" t="s">
        <v>782</v>
      </c>
      <c r="D134" s="37" t="n">
        <f aca="false">INDEX(Strain_IDs!C:C,MATCH(Table1[[#This Row],[Strains]],Strain_IDs!D:D,0))</f>
        <v>24</v>
      </c>
      <c r="E134" s="37" t="s">
        <v>783</v>
      </c>
      <c r="F134" s="37" t="s">
        <v>30</v>
      </c>
      <c r="G134" s="37" t="s">
        <v>31</v>
      </c>
      <c r="H134" s="37" t="s">
        <v>784</v>
      </c>
      <c r="I134" s="37" t="s">
        <v>785</v>
      </c>
      <c r="J134" s="37"/>
      <c r="K134" s="37" t="s">
        <v>786</v>
      </c>
      <c r="L134" s="37" t="s">
        <v>30</v>
      </c>
      <c r="M134" s="37" t="s">
        <v>31</v>
      </c>
      <c r="N134" s="37" t="s">
        <v>29</v>
      </c>
      <c r="O134" s="37" t="s">
        <v>785</v>
      </c>
      <c r="P134" s="37"/>
      <c r="Q134" s="37" t="s">
        <v>787</v>
      </c>
      <c r="R134" s="37" t="s">
        <v>290</v>
      </c>
      <c r="S134" s="37" t="s">
        <v>290</v>
      </c>
      <c r="T134" s="37" t="s">
        <v>387</v>
      </c>
      <c r="U134" s="37"/>
      <c r="V134" s="37"/>
      <c r="W134" s="37" t="s">
        <v>802</v>
      </c>
      <c r="X134" s="37" t="n">
        <v>63</v>
      </c>
      <c r="Y134" s="37"/>
      <c r="Z134" s="37" t="n">
        <v>0.7</v>
      </c>
      <c r="AB134" s="37"/>
      <c r="AC134" s="37"/>
      <c r="AD134" s="37"/>
      <c r="AE134" s="37" t="s">
        <v>789</v>
      </c>
      <c r="AF134" s="37" t="s">
        <v>389</v>
      </c>
      <c r="AG134" s="62" t="s">
        <v>390</v>
      </c>
      <c r="AH134" s="63"/>
      <c r="AI134" s="62"/>
      <c r="AJ134" s="37" t="s">
        <v>790</v>
      </c>
      <c r="AK134" s="37" t="n">
        <f aca="false">SUM(Table1[[#This Row],[reported_1302]:[reported_1286_iso]])</f>
        <v>100.01</v>
      </c>
      <c r="AL134" s="64" t="n">
        <v>13.51</v>
      </c>
      <c r="AM134" s="64" t="n">
        <v>11.08</v>
      </c>
      <c r="AN134" s="64" t="n">
        <v>39.72</v>
      </c>
      <c r="AO134" s="64" t="n">
        <v>13.26</v>
      </c>
      <c r="AP134" s="64" t="n">
        <v>4.64</v>
      </c>
      <c r="AQ134" s="64"/>
      <c r="AR134" s="64" t="n">
        <v>17.16</v>
      </c>
      <c r="AS134" s="64" t="n">
        <v>0.55</v>
      </c>
      <c r="AT134" s="64" t="n">
        <v>0.08</v>
      </c>
      <c r="AU134" s="64" t="n">
        <v>0.01</v>
      </c>
      <c r="AV134" s="64"/>
      <c r="AW134" s="64"/>
      <c r="AX134" s="64"/>
      <c r="AY134" s="64"/>
      <c r="AZ134" s="64"/>
      <c r="BA134" s="64" t="n">
        <f aca="false">AL134/SUM($AL134:$AQ134)</f>
        <v>0.164335239022017</v>
      </c>
      <c r="BB134" s="64" t="n">
        <f aca="false">AM134/SUM($AL134:$AQ134)</f>
        <v>0.13477679114463</v>
      </c>
      <c r="BC134" s="64" t="n">
        <f aca="false">AN134/SUM($AL134:$AQ134)</f>
        <v>0.483152901106921</v>
      </c>
      <c r="BD134" s="64" t="n">
        <f aca="false">AO134/SUM($AL134:$AQ134)</f>
        <v>0.161294246442039</v>
      </c>
      <c r="BE134" s="64" t="n">
        <f aca="false">AP134/SUM($AL134:$AQ134)</f>
        <v>0.0564408222843936</v>
      </c>
      <c r="BF134" s="64" t="n">
        <f aca="false">AQ134/SUM($AL134:$AQ134)</f>
        <v>0</v>
      </c>
      <c r="BG134" s="65" t="e">
        <f aca="false">#N/A</f>
        <v>#N/A</v>
      </c>
      <c r="BH134" s="37" t="s">
        <v>393</v>
      </c>
      <c r="BI134" s="37" t="s">
        <v>564</v>
      </c>
      <c r="BJ134" s="37" t="s">
        <v>791</v>
      </c>
      <c r="BK134" s="40" t="s">
        <v>4</v>
      </c>
      <c r="BL134" s="40" t="s">
        <v>4</v>
      </c>
      <c r="BM134" s="37" t="s">
        <v>397</v>
      </c>
      <c r="BN134" s="37" t="s">
        <v>397</v>
      </c>
      <c r="BO134" s="37" t="s">
        <v>595</v>
      </c>
      <c r="BP134" s="37" t="s">
        <v>397</v>
      </c>
      <c r="BQ134" s="37" t="s">
        <v>399</v>
      </c>
      <c r="BR134" s="37"/>
      <c r="BS134" s="37"/>
      <c r="BT134" s="37" t="s">
        <v>294</v>
      </c>
      <c r="BU134" s="37" t="s">
        <v>792</v>
      </c>
      <c r="BV134" s="72" t="s">
        <v>295</v>
      </c>
      <c r="BW134" s="37" t="s">
        <v>402</v>
      </c>
    </row>
    <row r="135" customFormat="false" ht="14.9" hidden="false" customHeight="false" outlineLevel="0" collapsed="false">
      <c r="A135" s="37" t="s">
        <v>803</v>
      </c>
      <c r="B135" s="62" t="s">
        <v>287</v>
      </c>
      <c r="C135" s="37" t="s">
        <v>782</v>
      </c>
      <c r="D135" s="37" t="n">
        <f aca="false">INDEX(Strain_IDs!C:C,MATCH(Table1[[#This Row],[Strains]],Strain_IDs!D:D,0))</f>
        <v>24</v>
      </c>
      <c r="E135" s="37" t="s">
        <v>783</v>
      </c>
      <c r="F135" s="37" t="s">
        <v>30</v>
      </c>
      <c r="G135" s="37" t="s">
        <v>31</v>
      </c>
      <c r="H135" s="37" t="s">
        <v>784</v>
      </c>
      <c r="I135" s="37" t="s">
        <v>785</v>
      </c>
      <c r="J135" s="37"/>
      <c r="K135" s="37" t="s">
        <v>786</v>
      </c>
      <c r="L135" s="37" t="s">
        <v>30</v>
      </c>
      <c r="M135" s="37" t="s">
        <v>31</v>
      </c>
      <c r="N135" s="37" t="s">
        <v>29</v>
      </c>
      <c r="O135" s="37" t="s">
        <v>785</v>
      </c>
      <c r="P135" s="37"/>
      <c r="Q135" s="37" t="s">
        <v>787</v>
      </c>
      <c r="R135" s="37" t="s">
        <v>290</v>
      </c>
      <c r="S135" s="37" t="s">
        <v>290</v>
      </c>
      <c r="T135" s="37" t="s">
        <v>387</v>
      </c>
      <c r="U135" s="37"/>
      <c r="V135" s="37"/>
      <c r="W135" s="37" t="s">
        <v>804</v>
      </c>
      <c r="X135" s="37" t="n">
        <v>58</v>
      </c>
      <c r="Y135" s="37"/>
      <c r="Z135" s="37" t="n">
        <v>0.3</v>
      </c>
      <c r="AB135" s="37"/>
      <c r="AC135" s="37"/>
      <c r="AD135" s="37"/>
      <c r="AE135" s="37" t="s">
        <v>789</v>
      </c>
      <c r="AF135" s="37" t="s">
        <v>761</v>
      </c>
      <c r="AG135" s="62" t="s">
        <v>446</v>
      </c>
      <c r="AH135" s="63"/>
      <c r="AI135" s="62"/>
      <c r="AJ135" s="37" t="s">
        <v>790</v>
      </c>
      <c r="AK135" s="37" t="n">
        <f aca="false">SUM(Table1[[#This Row],[reported_1302]:[reported_1286_iso]])</f>
        <v>100</v>
      </c>
      <c r="AL135" s="64" t="n">
        <v>21.55</v>
      </c>
      <c r="AM135" s="64" t="n">
        <v>5.76</v>
      </c>
      <c r="AN135" s="64" t="n">
        <v>27.11</v>
      </c>
      <c r="AO135" s="64" t="n">
        <v>8.94</v>
      </c>
      <c r="AP135" s="53" t="n">
        <v>10.34</v>
      </c>
      <c r="AQ135" s="64"/>
      <c r="AR135" s="53" t="n">
        <v>24.28</v>
      </c>
      <c r="AS135" s="53" t="n">
        <v>1.67</v>
      </c>
      <c r="AT135" s="53" t="n">
        <v>0.31</v>
      </c>
      <c r="AU135" s="53" t="n">
        <v>0.04</v>
      </c>
      <c r="AW135" s="64"/>
      <c r="AX135" s="64"/>
      <c r="AY135" s="64"/>
      <c r="AZ135" s="64"/>
      <c r="BA135" s="64" t="n">
        <f aca="false">AL135/SUM($AL135:$AQ135)</f>
        <v>0.292401628222524</v>
      </c>
      <c r="BB135" s="64" t="n">
        <f aca="false">AM135/SUM($AL135:$AQ135)</f>
        <v>0.0781546811397558</v>
      </c>
      <c r="BC135" s="64" t="n">
        <f aca="false">AN135/SUM($AL135:$AQ135)</f>
        <v>0.367842605156038</v>
      </c>
      <c r="BD135" s="64" t="n">
        <f aca="false">AO135/SUM($AL135:$AQ135)</f>
        <v>0.121302578018996</v>
      </c>
      <c r="BE135" s="64" t="n">
        <f aca="false">AP135/SUM($AL135:$AQ135)</f>
        <v>0.140298507462687</v>
      </c>
      <c r="BF135" s="64" t="n">
        <f aca="false">AQ135/SUM($AL135:$AQ135)</f>
        <v>0</v>
      </c>
      <c r="BG135" s="65" t="e">
        <f aca="false">#N/A</f>
        <v>#N/A</v>
      </c>
      <c r="BH135" s="37" t="s">
        <v>393</v>
      </c>
      <c r="BI135" s="37" t="s">
        <v>564</v>
      </c>
      <c r="BJ135" s="37" t="s">
        <v>791</v>
      </c>
      <c r="BK135" s="40" t="s">
        <v>4</v>
      </c>
      <c r="BL135" s="40" t="s">
        <v>4</v>
      </c>
      <c r="BM135" s="37" t="s">
        <v>397</v>
      </c>
      <c r="BN135" s="37" t="s">
        <v>397</v>
      </c>
      <c r="BO135" s="37" t="s">
        <v>595</v>
      </c>
      <c r="BP135" s="37" t="s">
        <v>397</v>
      </c>
      <c r="BQ135" s="37" t="s">
        <v>399</v>
      </c>
      <c r="BR135" s="37"/>
      <c r="BS135" s="37"/>
      <c r="BT135" s="37" t="s">
        <v>294</v>
      </c>
      <c r="BU135" s="37" t="s">
        <v>792</v>
      </c>
      <c r="BV135" s="72" t="s">
        <v>295</v>
      </c>
      <c r="BW135" s="37" t="s">
        <v>402</v>
      </c>
    </row>
    <row r="136" customFormat="false" ht="14.9" hidden="false" customHeight="false" outlineLevel="0" collapsed="false">
      <c r="A136" s="37" t="s">
        <v>805</v>
      </c>
      <c r="B136" s="62" t="s">
        <v>287</v>
      </c>
      <c r="C136" s="37" t="s">
        <v>782</v>
      </c>
      <c r="D136" s="37" t="n">
        <f aca="false">INDEX(Strain_IDs!C:C,MATCH(Table1[[#This Row],[Strains]],Strain_IDs!D:D,0))</f>
        <v>24</v>
      </c>
      <c r="E136" s="37" t="s">
        <v>783</v>
      </c>
      <c r="F136" s="37" t="s">
        <v>30</v>
      </c>
      <c r="G136" s="37" t="s">
        <v>31</v>
      </c>
      <c r="H136" s="37" t="s">
        <v>784</v>
      </c>
      <c r="I136" s="37" t="s">
        <v>785</v>
      </c>
      <c r="J136" s="37"/>
      <c r="K136" s="37" t="s">
        <v>786</v>
      </c>
      <c r="L136" s="37" t="s">
        <v>30</v>
      </c>
      <c r="M136" s="37" t="s">
        <v>31</v>
      </c>
      <c r="N136" s="37" t="s">
        <v>29</v>
      </c>
      <c r="O136" s="37" t="s">
        <v>785</v>
      </c>
      <c r="P136" s="37"/>
      <c r="Q136" s="37" t="s">
        <v>787</v>
      </c>
      <c r="R136" s="37" t="s">
        <v>290</v>
      </c>
      <c r="S136" s="37" t="s">
        <v>290</v>
      </c>
      <c r="T136" s="37" t="s">
        <v>387</v>
      </c>
      <c r="U136" s="37"/>
      <c r="V136" s="37"/>
      <c r="W136" s="37" t="s">
        <v>806</v>
      </c>
      <c r="X136" s="37" t="n">
        <v>58</v>
      </c>
      <c r="Y136" s="37"/>
      <c r="Z136" s="37" t="n">
        <v>0.5</v>
      </c>
      <c r="AB136" s="37"/>
      <c r="AC136" s="37"/>
      <c r="AD136" s="37"/>
      <c r="AE136" s="37" t="s">
        <v>789</v>
      </c>
      <c r="AF136" s="37" t="s">
        <v>761</v>
      </c>
      <c r="AG136" s="62" t="s">
        <v>446</v>
      </c>
      <c r="AH136" s="63"/>
      <c r="AI136" s="62"/>
      <c r="AJ136" s="37" t="s">
        <v>790</v>
      </c>
      <c r="AK136" s="37" t="n">
        <f aca="false">SUM(Table1[[#This Row],[reported_1302]:[reported_1286_iso]])</f>
        <v>100</v>
      </c>
      <c r="AL136" s="64" t="n">
        <v>43.49</v>
      </c>
      <c r="AM136" s="64" t="n">
        <v>6.08</v>
      </c>
      <c r="AN136" s="64" t="n">
        <v>21.15</v>
      </c>
      <c r="AO136" s="64" t="n">
        <v>7.15</v>
      </c>
      <c r="AP136" s="53" t="n">
        <v>4.93</v>
      </c>
      <c r="AQ136" s="64"/>
      <c r="AR136" s="53" t="n">
        <v>16.57</v>
      </c>
      <c r="AS136" s="53" t="n">
        <v>0.54</v>
      </c>
      <c r="AT136" s="53" t="n">
        <v>0.08</v>
      </c>
      <c r="AU136" s="53" t="n">
        <v>0.01</v>
      </c>
      <c r="AW136" s="64"/>
      <c r="AX136" s="64"/>
      <c r="AY136" s="64"/>
      <c r="AZ136" s="64"/>
      <c r="BA136" s="64" t="n">
        <f aca="false">AL136/SUM($AL136:$AQ136)</f>
        <v>0.52524154589372</v>
      </c>
      <c r="BB136" s="64" t="n">
        <f aca="false">AM136/SUM($AL136:$AQ136)</f>
        <v>0.0734299516908213</v>
      </c>
      <c r="BC136" s="64" t="n">
        <f aca="false">AN136/SUM($AL136:$AQ136)</f>
        <v>0.255434782608696</v>
      </c>
      <c r="BD136" s="64" t="n">
        <f aca="false">AO136/SUM($AL136:$AQ136)</f>
        <v>0.0863526570048309</v>
      </c>
      <c r="BE136" s="64" t="n">
        <f aca="false">AP136/SUM($AL136:$AQ136)</f>
        <v>0.0595410628019324</v>
      </c>
      <c r="BF136" s="64" t="n">
        <f aca="false">AQ136/SUM($AL136:$AQ136)</f>
        <v>0</v>
      </c>
      <c r="BG136" s="65" t="e">
        <f aca="false">#N/A</f>
        <v>#N/A</v>
      </c>
      <c r="BH136" s="37" t="s">
        <v>393</v>
      </c>
      <c r="BI136" s="37" t="s">
        <v>564</v>
      </c>
      <c r="BJ136" s="37" t="s">
        <v>791</v>
      </c>
      <c r="BK136" s="40" t="s">
        <v>4</v>
      </c>
      <c r="BL136" s="40" t="s">
        <v>4</v>
      </c>
      <c r="BM136" s="37" t="s">
        <v>397</v>
      </c>
      <c r="BN136" s="37" t="s">
        <v>397</v>
      </c>
      <c r="BO136" s="37" t="s">
        <v>595</v>
      </c>
      <c r="BP136" s="37" t="s">
        <v>397</v>
      </c>
      <c r="BQ136" s="37" t="s">
        <v>399</v>
      </c>
      <c r="BR136" s="37"/>
      <c r="BS136" s="37"/>
      <c r="BT136" s="37" t="s">
        <v>294</v>
      </c>
      <c r="BU136" s="37" t="s">
        <v>792</v>
      </c>
      <c r="BV136" s="72" t="s">
        <v>295</v>
      </c>
      <c r="BW136" s="37" t="s">
        <v>402</v>
      </c>
    </row>
    <row r="137" customFormat="false" ht="14.9" hidden="false" customHeight="false" outlineLevel="0" collapsed="false">
      <c r="A137" s="37" t="s">
        <v>793</v>
      </c>
      <c r="B137" s="62" t="s">
        <v>287</v>
      </c>
      <c r="C137" s="37" t="s">
        <v>782</v>
      </c>
      <c r="D137" s="37" t="n">
        <f aca="false">INDEX(Strain_IDs!C:C,MATCH(Table1[[#This Row],[Strains]],Strain_IDs!D:D,0))</f>
        <v>24</v>
      </c>
      <c r="E137" s="37" t="s">
        <v>783</v>
      </c>
      <c r="F137" s="37" t="s">
        <v>30</v>
      </c>
      <c r="G137" s="37" t="s">
        <v>31</v>
      </c>
      <c r="H137" s="37" t="s">
        <v>784</v>
      </c>
      <c r="I137" s="37" t="s">
        <v>785</v>
      </c>
      <c r="J137" s="37"/>
      <c r="K137" s="37" t="s">
        <v>786</v>
      </c>
      <c r="L137" s="37" t="s">
        <v>30</v>
      </c>
      <c r="M137" s="37" t="s">
        <v>31</v>
      </c>
      <c r="N137" s="37" t="s">
        <v>29</v>
      </c>
      <c r="O137" s="37" t="s">
        <v>785</v>
      </c>
      <c r="P137" s="37"/>
      <c r="Q137" s="37" t="s">
        <v>787</v>
      </c>
      <c r="R137" s="37" t="s">
        <v>290</v>
      </c>
      <c r="S137" s="37" t="s">
        <v>290</v>
      </c>
      <c r="T137" s="37" t="s">
        <v>387</v>
      </c>
      <c r="U137" s="37"/>
      <c r="V137" s="37"/>
      <c r="W137" s="37" t="s">
        <v>807</v>
      </c>
      <c r="X137" s="37" t="n">
        <v>58</v>
      </c>
      <c r="Y137" s="37"/>
      <c r="Z137" s="37" t="n">
        <v>0.7</v>
      </c>
      <c r="AB137" s="37"/>
      <c r="AC137" s="37"/>
      <c r="AD137" s="37"/>
      <c r="AE137" s="37" t="s">
        <v>789</v>
      </c>
      <c r="AF137" s="37" t="s">
        <v>761</v>
      </c>
      <c r="AG137" s="62" t="s">
        <v>446</v>
      </c>
      <c r="AH137" s="63"/>
      <c r="AI137" s="62"/>
      <c r="AJ137" s="37" t="s">
        <v>790</v>
      </c>
      <c r="AK137" s="37" t="n">
        <f aca="false">SUM(Table1[[#This Row],[reported_1302]:[reported_1286_iso]])</f>
        <v>100</v>
      </c>
      <c r="AL137" s="64" t="n">
        <v>28.49</v>
      </c>
      <c r="AM137" s="64" t="n">
        <v>8.57</v>
      </c>
      <c r="AN137" s="64" t="n">
        <v>27.83</v>
      </c>
      <c r="AO137" s="64" t="n">
        <v>9.73</v>
      </c>
      <c r="AP137" s="53" t="n">
        <v>6</v>
      </c>
      <c r="AQ137" s="64"/>
      <c r="AR137" s="53" t="n">
        <v>18.64</v>
      </c>
      <c r="AS137" s="53" t="n">
        <v>0.63</v>
      </c>
      <c r="AT137" s="53" t="n">
        <v>0.1</v>
      </c>
      <c r="AU137" s="53" t="n">
        <v>0.01</v>
      </c>
      <c r="AW137" s="64"/>
      <c r="AX137" s="64"/>
      <c r="AY137" s="64"/>
      <c r="AZ137" s="64"/>
      <c r="BA137" s="64" t="n">
        <f aca="false">AL137/SUM($AL137:$AQ137)</f>
        <v>0.353386256512032</v>
      </c>
      <c r="BB137" s="64" t="n">
        <f aca="false">AM137/SUM($AL137:$AQ137)</f>
        <v>0.106301165963781</v>
      </c>
      <c r="BC137" s="64" t="n">
        <f aca="false">AN137/SUM($AL137:$AQ137)</f>
        <v>0.34519970230712</v>
      </c>
      <c r="BD137" s="64" t="n">
        <f aca="false">AO137/SUM($AL137:$AQ137)</f>
        <v>0.120689655172414</v>
      </c>
      <c r="BE137" s="64" t="n">
        <f aca="false">AP137/SUM($AL137:$AQ137)</f>
        <v>0.0744232200446539</v>
      </c>
      <c r="BF137" s="64" t="n">
        <f aca="false">AQ137/SUM($AL137:$AQ137)</f>
        <v>0</v>
      </c>
      <c r="BG137" s="65" t="e">
        <f aca="false">#N/A</f>
        <v>#N/A</v>
      </c>
      <c r="BH137" s="37" t="s">
        <v>393</v>
      </c>
      <c r="BI137" s="37" t="s">
        <v>564</v>
      </c>
      <c r="BJ137" s="37" t="s">
        <v>791</v>
      </c>
      <c r="BK137" s="40" t="s">
        <v>4</v>
      </c>
      <c r="BL137" s="40" t="s">
        <v>4</v>
      </c>
      <c r="BM137" s="37" t="s">
        <v>397</v>
      </c>
      <c r="BN137" s="37" t="s">
        <v>397</v>
      </c>
      <c r="BO137" s="37" t="s">
        <v>595</v>
      </c>
      <c r="BP137" s="37" t="s">
        <v>397</v>
      </c>
      <c r="BQ137" s="37" t="s">
        <v>399</v>
      </c>
      <c r="BR137" s="37"/>
      <c r="BS137" s="37"/>
      <c r="BT137" s="37" t="s">
        <v>294</v>
      </c>
      <c r="BU137" s="37" t="s">
        <v>792</v>
      </c>
      <c r="BV137" s="72" t="s">
        <v>295</v>
      </c>
      <c r="BW137" s="37" t="s">
        <v>402</v>
      </c>
    </row>
    <row r="138" customFormat="false" ht="14.9" hidden="false" customHeight="false" outlineLevel="0" collapsed="false">
      <c r="A138" s="37" t="s">
        <v>808</v>
      </c>
      <c r="B138" s="62" t="s">
        <v>287</v>
      </c>
      <c r="C138" s="37" t="s">
        <v>782</v>
      </c>
      <c r="D138" s="37" t="n">
        <f aca="false">INDEX(Strain_IDs!C:C,MATCH(Table1[[#This Row],[Strains]],Strain_IDs!D:D,0))</f>
        <v>24</v>
      </c>
      <c r="E138" s="37" t="s">
        <v>783</v>
      </c>
      <c r="F138" s="37" t="s">
        <v>30</v>
      </c>
      <c r="G138" s="37" t="s">
        <v>31</v>
      </c>
      <c r="H138" s="37" t="s">
        <v>784</v>
      </c>
      <c r="I138" s="37" t="s">
        <v>785</v>
      </c>
      <c r="J138" s="37"/>
      <c r="K138" s="37" t="s">
        <v>786</v>
      </c>
      <c r="L138" s="37" t="s">
        <v>30</v>
      </c>
      <c r="M138" s="37" t="s">
        <v>31</v>
      </c>
      <c r="N138" s="37" t="s">
        <v>29</v>
      </c>
      <c r="O138" s="37" t="s">
        <v>785</v>
      </c>
      <c r="P138" s="37"/>
      <c r="Q138" s="37" t="s">
        <v>787</v>
      </c>
      <c r="R138" s="37" t="s">
        <v>290</v>
      </c>
      <c r="S138" s="37" t="s">
        <v>290</v>
      </c>
      <c r="T138" s="37" t="s">
        <v>387</v>
      </c>
      <c r="U138" s="37"/>
      <c r="V138" s="37"/>
      <c r="W138" s="37" t="s">
        <v>809</v>
      </c>
      <c r="X138" s="37" t="n">
        <v>58</v>
      </c>
      <c r="Y138" s="37"/>
      <c r="Z138" s="37" t="n">
        <v>0.9</v>
      </c>
      <c r="AB138" s="37"/>
      <c r="AC138" s="37"/>
      <c r="AD138" s="37"/>
      <c r="AE138" s="37" t="s">
        <v>789</v>
      </c>
      <c r="AF138" s="37" t="s">
        <v>761</v>
      </c>
      <c r="AG138" s="62" t="s">
        <v>446</v>
      </c>
      <c r="AH138" s="63"/>
      <c r="AI138" s="62"/>
      <c r="AJ138" s="37" t="s">
        <v>790</v>
      </c>
      <c r="AK138" s="37" t="n">
        <f aca="false">SUM(Table1[[#This Row],[reported_1302]:[reported_1286_iso]])</f>
        <v>100</v>
      </c>
      <c r="AL138" s="64" t="n">
        <v>47.94</v>
      </c>
      <c r="AM138" s="64" t="n">
        <v>6.29</v>
      </c>
      <c r="AN138" s="64" t="n">
        <v>19.76</v>
      </c>
      <c r="AO138" s="64" t="n">
        <v>6.42</v>
      </c>
      <c r="AP138" s="53" t="n">
        <v>4.6</v>
      </c>
      <c r="AQ138" s="64"/>
      <c r="AR138" s="53" t="n">
        <v>14.32</v>
      </c>
      <c r="AS138" s="53" t="n">
        <v>0.56</v>
      </c>
      <c r="AT138" s="53" t="n">
        <v>0.1</v>
      </c>
      <c r="AU138" s="53" t="n">
        <v>0.01</v>
      </c>
      <c r="AW138" s="64"/>
      <c r="AX138" s="64"/>
      <c r="AY138" s="64"/>
      <c r="AZ138" s="64"/>
      <c r="BA138" s="64" t="n">
        <f aca="false">AL138/SUM($AL138:$AQ138)</f>
        <v>0.563933654864134</v>
      </c>
      <c r="BB138" s="64" t="n">
        <f aca="false">AM138/SUM($AL138:$AQ138)</f>
        <v>0.073991295141748</v>
      </c>
      <c r="BC138" s="64" t="n">
        <f aca="false">AN138/SUM($AL138:$AQ138)</f>
        <v>0.232443241971533</v>
      </c>
      <c r="BD138" s="64" t="n">
        <f aca="false">AO138/SUM($AL138:$AQ138)</f>
        <v>0.0755205269968239</v>
      </c>
      <c r="BE138" s="64" t="n">
        <f aca="false">AP138/SUM($AL138:$AQ138)</f>
        <v>0.0541112810257617</v>
      </c>
      <c r="BF138" s="64" t="n">
        <f aca="false">AQ138/SUM($AL138:$AQ138)</f>
        <v>0</v>
      </c>
      <c r="BG138" s="65" t="e">
        <f aca="false">#N/A</f>
        <v>#N/A</v>
      </c>
      <c r="BH138" s="37" t="s">
        <v>393</v>
      </c>
      <c r="BI138" s="37" t="s">
        <v>564</v>
      </c>
      <c r="BJ138" s="37" t="s">
        <v>791</v>
      </c>
      <c r="BK138" s="40" t="s">
        <v>4</v>
      </c>
      <c r="BL138" s="40" t="s">
        <v>4</v>
      </c>
      <c r="BM138" s="37" t="s">
        <v>397</v>
      </c>
      <c r="BN138" s="37" t="s">
        <v>397</v>
      </c>
      <c r="BO138" s="37" t="s">
        <v>595</v>
      </c>
      <c r="BP138" s="37" t="s">
        <v>397</v>
      </c>
      <c r="BQ138" s="37" t="s">
        <v>399</v>
      </c>
      <c r="BR138" s="37"/>
      <c r="BS138" s="37"/>
      <c r="BT138" s="37" t="s">
        <v>294</v>
      </c>
      <c r="BU138" s="37" t="s">
        <v>792</v>
      </c>
      <c r="BV138" s="72" t="s">
        <v>295</v>
      </c>
      <c r="BW138" s="37" t="s">
        <v>402</v>
      </c>
    </row>
    <row r="139" customFormat="false" ht="14.9" hidden="false" customHeight="false" outlineLevel="0" collapsed="false">
      <c r="A139" s="37" t="s">
        <v>810</v>
      </c>
      <c r="B139" s="62" t="s">
        <v>287</v>
      </c>
      <c r="C139" s="37" t="s">
        <v>782</v>
      </c>
      <c r="D139" s="37" t="n">
        <f aca="false">INDEX(Strain_IDs!C:C,MATCH(Table1[[#This Row],[Strains]],Strain_IDs!D:D,0))</f>
        <v>24</v>
      </c>
      <c r="E139" s="37" t="s">
        <v>783</v>
      </c>
      <c r="F139" s="37" t="s">
        <v>30</v>
      </c>
      <c r="G139" s="37" t="s">
        <v>31</v>
      </c>
      <c r="H139" s="37" t="s">
        <v>784</v>
      </c>
      <c r="I139" s="37" t="s">
        <v>785</v>
      </c>
      <c r="J139" s="37"/>
      <c r="K139" s="37" t="s">
        <v>786</v>
      </c>
      <c r="L139" s="37" t="s">
        <v>30</v>
      </c>
      <c r="M139" s="37" t="s">
        <v>31</v>
      </c>
      <c r="N139" s="37" t="s">
        <v>29</v>
      </c>
      <c r="O139" s="37" t="s">
        <v>785</v>
      </c>
      <c r="P139" s="37"/>
      <c r="Q139" s="37" t="s">
        <v>787</v>
      </c>
      <c r="R139" s="37" t="s">
        <v>290</v>
      </c>
      <c r="S139" s="37" t="s">
        <v>290</v>
      </c>
      <c r="T139" s="37" t="s">
        <v>387</v>
      </c>
      <c r="U139" s="37"/>
      <c r="V139" s="37"/>
      <c r="W139" s="37" t="s">
        <v>811</v>
      </c>
      <c r="X139" s="37" t="n">
        <v>58</v>
      </c>
      <c r="Y139" s="37"/>
      <c r="Z139" s="37" t="n">
        <v>1.1</v>
      </c>
      <c r="AB139" s="37"/>
      <c r="AC139" s="37"/>
      <c r="AD139" s="37"/>
      <c r="AE139" s="37" t="s">
        <v>789</v>
      </c>
      <c r="AF139" s="37" t="s">
        <v>761</v>
      </c>
      <c r="AG139" s="62" t="s">
        <v>446</v>
      </c>
      <c r="AH139" s="63"/>
      <c r="AI139" s="62"/>
      <c r="AJ139" s="37" t="s">
        <v>790</v>
      </c>
      <c r="AK139" s="37" t="n">
        <f aca="false">SUM(Table1[[#This Row],[reported_1302]:[reported_1286_iso]])</f>
        <v>100</v>
      </c>
      <c r="AL139" s="64" t="n">
        <v>65.83</v>
      </c>
      <c r="AM139" s="64" t="n">
        <v>10.78</v>
      </c>
      <c r="AN139" s="64" t="n">
        <v>15.15</v>
      </c>
      <c r="AO139" s="64" t="n">
        <v>2.76</v>
      </c>
      <c r="AP139" s="53" t="n">
        <v>1.45</v>
      </c>
      <c r="AQ139" s="64"/>
      <c r="AR139" s="53" t="n">
        <v>3.73</v>
      </c>
      <c r="AS139" s="53" t="n">
        <v>0.25</v>
      </c>
      <c r="AT139" s="53" t="n">
        <v>0.04</v>
      </c>
      <c r="AU139" s="53" t="n">
        <v>0.01</v>
      </c>
      <c r="AW139" s="64"/>
      <c r="AX139" s="64"/>
      <c r="AY139" s="64"/>
      <c r="AZ139" s="64"/>
      <c r="BA139" s="64" t="n">
        <f aca="false">AL139/SUM($AL139:$AQ139)</f>
        <v>0.685943524017922</v>
      </c>
      <c r="BB139" s="64" t="n">
        <f aca="false">AM139/SUM($AL139:$AQ139)</f>
        <v>0.112326768781911</v>
      </c>
      <c r="BC139" s="64" t="n">
        <f aca="false">AN139/SUM($AL139:$AQ139)</f>
        <v>0.157861831822445</v>
      </c>
      <c r="BD139" s="64" t="n">
        <f aca="false">AO139/SUM($AL139:$AQ139)</f>
        <v>0.0287589871834948</v>
      </c>
      <c r="BE139" s="64" t="n">
        <f aca="false">AP139/SUM($AL139:$AQ139)</f>
        <v>0.0151088881942274</v>
      </c>
      <c r="BF139" s="64" t="n">
        <f aca="false">AQ139/SUM($AL139:$AQ139)</f>
        <v>0</v>
      </c>
      <c r="BG139" s="65" t="e">
        <f aca="false">#N/A</f>
        <v>#N/A</v>
      </c>
      <c r="BH139" s="37" t="s">
        <v>393</v>
      </c>
      <c r="BI139" s="37" t="s">
        <v>564</v>
      </c>
      <c r="BJ139" s="37" t="s">
        <v>791</v>
      </c>
      <c r="BK139" s="40" t="s">
        <v>4</v>
      </c>
      <c r="BL139" s="40" t="s">
        <v>4</v>
      </c>
      <c r="BM139" s="37" t="s">
        <v>397</v>
      </c>
      <c r="BN139" s="37" t="s">
        <v>397</v>
      </c>
      <c r="BO139" s="37" t="s">
        <v>595</v>
      </c>
      <c r="BP139" s="37" t="s">
        <v>397</v>
      </c>
      <c r="BQ139" s="37" t="s">
        <v>399</v>
      </c>
      <c r="BR139" s="37"/>
      <c r="BS139" s="37"/>
      <c r="BT139" s="37" t="s">
        <v>294</v>
      </c>
      <c r="BU139" s="37" t="s">
        <v>792</v>
      </c>
      <c r="BV139" s="72" t="s">
        <v>295</v>
      </c>
      <c r="BW139" s="37" t="s">
        <v>402</v>
      </c>
    </row>
    <row r="140" customFormat="false" ht="14.9" hidden="false" customHeight="false" outlineLevel="0" collapsed="false">
      <c r="A140" s="37" t="s">
        <v>812</v>
      </c>
      <c r="B140" s="62" t="s">
        <v>287</v>
      </c>
      <c r="C140" s="37" t="s">
        <v>782</v>
      </c>
      <c r="D140" s="37" t="n">
        <f aca="false">INDEX(Strain_IDs!C:C,MATCH(Table1[[#This Row],[Strains]],Strain_IDs!D:D,0))</f>
        <v>24</v>
      </c>
      <c r="E140" s="37" t="s">
        <v>783</v>
      </c>
      <c r="F140" s="37" t="s">
        <v>30</v>
      </c>
      <c r="G140" s="37" t="s">
        <v>31</v>
      </c>
      <c r="H140" s="37" t="s">
        <v>784</v>
      </c>
      <c r="I140" s="37" t="s">
        <v>785</v>
      </c>
      <c r="J140" s="37"/>
      <c r="K140" s="37" t="s">
        <v>786</v>
      </c>
      <c r="L140" s="37" t="s">
        <v>30</v>
      </c>
      <c r="M140" s="37" t="s">
        <v>31</v>
      </c>
      <c r="N140" s="37" t="s">
        <v>29</v>
      </c>
      <c r="O140" s="37" t="s">
        <v>785</v>
      </c>
      <c r="P140" s="37"/>
      <c r="Q140" s="37" t="s">
        <v>787</v>
      </c>
      <c r="R140" s="37" t="s">
        <v>290</v>
      </c>
      <c r="S140" s="37" t="s">
        <v>290</v>
      </c>
      <c r="T140" s="37" t="s">
        <v>387</v>
      </c>
      <c r="U140" s="37"/>
      <c r="V140" s="37"/>
      <c r="W140" s="37" t="s">
        <v>813</v>
      </c>
      <c r="X140" s="37" t="n">
        <v>58</v>
      </c>
      <c r="Y140" s="37"/>
      <c r="Z140" s="37" t="n">
        <v>0.3</v>
      </c>
      <c r="AB140" s="37"/>
      <c r="AC140" s="37"/>
      <c r="AD140" s="37"/>
      <c r="AE140" s="37" t="s">
        <v>789</v>
      </c>
      <c r="AF140" s="37" t="s">
        <v>761</v>
      </c>
      <c r="AG140" s="62" t="s">
        <v>390</v>
      </c>
      <c r="AH140" s="63"/>
      <c r="AI140" s="62"/>
      <c r="AJ140" s="37" t="s">
        <v>790</v>
      </c>
      <c r="AK140" s="37" t="n">
        <f aca="false">SUM(Table1[[#This Row],[reported_1302]:[reported_1286_iso]])</f>
        <v>99.99</v>
      </c>
      <c r="AL140" s="53" t="n">
        <v>25.76</v>
      </c>
      <c r="AM140" s="53" t="n">
        <v>8.25</v>
      </c>
      <c r="AN140" s="53" t="n">
        <v>32.27</v>
      </c>
      <c r="AO140" s="53" t="n">
        <v>9.09</v>
      </c>
      <c r="AP140" s="53" t="n">
        <v>5.59</v>
      </c>
      <c r="AQ140" s="64"/>
      <c r="AR140" s="53" t="n">
        <v>17.88</v>
      </c>
      <c r="AS140" s="53" t="n">
        <v>0.96</v>
      </c>
      <c r="AT140" s="53" t="n">
        <v>0.17</v>
      </c>
      <c r="AU140" s="53" t="n">
        <v>0.02</v>
      </c>
      <c r="AW140" s="64"/>
      <c r="AX140" s="64"/>
      <c r="AY140" s="64"/>
      <c r="AZ140" s="64"/>
      <c r="BA140" s="64" t="n">
        <f aca="false">AL140/SUM($AL140:$AQ140)</f>
        <v>0.318181818181818</v>
      </c>
      <c r="BB140" s="64" t="n">
        <f aca="false">AM140/SUM($AL140:$AQ140)</f>
        <v>0.101902173913043</v>
      </c>
      <c r="BC140" s="64" t="n">
        <f aca="false">AN140/SUM($AL140:$AQ140)</f>
        <v>0.398591897233202</v>
      </c>
      <c r="BD140" s="64" t="n">
        <f aca="false">AO140/SUM($AL140:$AQ140)</f>
        <v>0.11227766798419</v>
      </c>
      <c r="BE140" s="64" t="n">
        <f aca="false">AP140/SUM($AL140:$AQ140)</f>
        <v>0.069046442687747</v>
      </c>
      <c r="BF140" s="64" t="n">
        <f aca="false">AQ140/SUM($AL140:$AQ140)</f>
        <v>0</v>
      </c>
      <c r="BG140" s="65" t="e">
        <f aca="false">#N/A</f>
        <v>#N/A</v>
      </c>
      <c r="BH140" s="37" t="s">
        <v>393</v>
      </c>
      <c r="BI140" s="37" t="s">
        <v>564</v>
      </c>
      <c r="BJ140" s="37" t="s">
        <v>791</v>
      </c>
      <c r="BK140" s="40" t="s">
        <v>4</v>
      </c>
      <c r="BL140" s="40" t="s">
        <v>4</v>
      </c>
      <c r="BM140" s="37" t="s">
        <v>397</v>
      </c>
      <c r="BN140" s="37" t="s">
        <v>397</v>
      </c>
      <c r="BO140" s="37" t="s">
        <v>595</v>
      </c>
      <c r="BP140" s="37" t="s">
        <v>397</v>
      </c>
      <c r="BQ140" s="37" t="s">
        <v>399</v>
      </c>
      <c r="BR140" s="37"/>
      <c r="BS140" s="37"/>
      <c r="BT140" s="37" t="s">
        <v>294</v>
      </c>
      <c r="BU140" s="37" t="s">
        <v>792</v>
      </c>
      <c r="BV140" s="72" t="s">
        <v>295</v>
      </c>
      <c r="BW140" s="37" t="s">
        <v>402</v>
      </c>
    </row>
    <row r="141" customFormat="false" ht="14.9" hidden="false" customHeight="false" outlineLevel="0" collapsed="false">
      <c r="A141" s="37" t="s">
        <v>814</v>
      </c>
      <c r="B141" s="62" t="s">
        <v>287</v>
      </c>
      <c r="C141" s="37" t="s">
        <v>782</v>
      </c>
      <c r="D141" s="37" t="n">
        <f aca="false">INDEX(Strain_IDs!C:C,MATCH(Table1[[#This Row],[Strains]],Strain_IDs!D:D,0))</f>
        <v>24</v>
      </c>
      <c r="E141" s="37" t="s">
        <v>783</v>
      </c>
      <c r="F141" s="37" t="s">
        <v>30</v>
      </c>
      <c r="G141" s="37" t="s">
        <v>31</v>
      </c>
      <c r="H141" s="37" t="s">
        <v>784</v>
      </c>
      <c r="I141" s="37" t="s">
        <v>785</v>
      </c>
      <c r="J141" s="37"/>
      <c r="K141" s="37" t="s">
        <v>786</v>
      </c>
      <c r="L141" s="37" t="s">
        <v>30</v>
      </c>
      <c r="M141" s="37" t="s">
        <v>31</v>
      </c>
      <c r="N141" s="37" t="s">
        <v>29</v>
      </c>
      <c r="O141" s="37" t="s">
        <v>785</v>
      </c>
      <c r="P141" s="37"/>
      <c r="Q141" s="37" t="s">
        <v>787</v>
      </c>
      <c r="R141" s="37" t="s">
        <v>290</v>
      </c>
      <c r="S141" s="37" t="s">
        <v>290</v>
      </c>
      <c r="T141" s="37" t="s">
        <v>387</v>
      </c>
      <c r="U141" s="37"/>
      <c r="V141" s="37"/>
      <c r="W141" s="37" t="s">
        <v>815</v>
      </c>
      <c r="X141" s="37" t="n">
        <v>58</v>
      </c>
      <c r="Y141" s="37"/>
      <c r="Z141" s="37" t="n">
        <v>0.5</v>
      </c>
      <c r="AB141" s="37"/>
      <c r="AC141" s="37"/>
      <c r="AD141" s="37"/>
      <c r="AE141" s="37" t="s">
        <v>789</v>
      </c>
      <c r="AF141" s="37" t="s">
        <v>761</v>
      </c>
      <c r="AG141" s="62" t="s">
        <v>390</v>
      </c>
      <c r="AH141" s="63"/>
      <c r="AI141" s="62"/>
      <c r="AJ141" s="37" t="s">
        <v>790</v>
      </c>
      <c r="AK141" s="37" t="n">
        <f aca="false">SUM(Table1[[#This Row],[reported_1302]:[reported_1286_iso]])</f>
        <v>100</v>
      </c>
      <c r="AL141" s="53" t="n">
        <v>12.23</v>
      </c>
      <c r="AM141" s="53" t="n">
        <v>7.85</v>
      </c>
      <c r="AN141" s="53" t="n">
        <v>36.33</v>
      </c>
      <c r="AO141" s="53" t="n">
        <v>14.97</v>
      </c>
      <c r="AP141" s="53" t="n">
        <v>5.13</v>
      </c>
      <c r="AQ141" s="64"/>
      <c r="AR141" s="53" t="n">
        <v>22.98</v>
      </c>
      <c r="AS141" s="53" t="n">
        <v>0.45</v>
      </c>
      <c r="AT141" s="53" t="n">
        <v>0.05</v>
      </c>
      <c r="AU141" s="53" t="n">
        <v>0.01</v>
      </c>
      <c r="AW141" s="64"/>
      <c r="AX141" s="64"/>
      <c r="AY141" s="64"/>
      <c r="AZ141" s="64"/>
      <c r="BA141" s="64" t="n">
        <f aca="false">AL141/SUM($AL141:$AQ141)</f>
        <v>0.159848385831917</v>
      </c>
      <c r="BB141" s="64" t="n">
        <f aca="false">AM141/SUM($AL141:$AQ141)</f>
        <v>0.102600967193831</v>
      </c>
      <c r="BC141" s="64" t="n">
        <f aca="false">AN141/SUM($AL141:$AQ141)</f>
        <v>0.47483989021043</v>
      </c>
      <c r="BD141" s="64" t="n">
        <f aca="false">AO141/SUM($AL141:$AQ141)</f>
        <v>0.195660697947981</v>
      </c>
      <c r="BE141" s="64" t="n">
        <f aca="false">AP141/SUM($AL141:$AQ141)</f>
        <v>0.0670500588158411</v>
      </c>
      <c r="BF141" s="64" t="n">
        <f aca="false">AQ141/SUM($AL141:$AQ141)</f>
        <v>0</v>
      </c>
      <c r="BG141" s="65" t="e">
        <f aca="false">#N/A</f>
        <v>#N/A</v>
      </c>
      <c r="BH141" s="37" t="s">
        <v>393</v>
      </c>
      <c r="BI141" s="37" t="s">
        <v>564</v>
      </c>
      <c r="BJ141" s="37" t="s">
        <v>791</v>
      </c>
      <c r="BK141" s="40" t="s">
        <v>4</v>
      </c>
      <c r="BL141" s="40" t="s">
        <v>4</v>
      </c>
      <c r="BM141" s="37" t="s">
        <v>397</v>
      </c>
      <c r="BN141" s="37" t="s">
        <v>397</v>
      </c>
      <c r="BO141" s="37" t="s">
        <v>595</v>
      </c>
      <c r="BP141" s="37" t="s">
        <v>397</v>
      </c>
      <c r="BQ141" s="37" t="s">
        <v>399</v>
      </c>
      <c r="BR141" s="37"/>
      <c r="BS141" s="37"/>
      <c r="BT141" s="37" t="s">
        <v>294</v>
      </c>
      <c r="BU141" s="37" t="s">
        <v>792</v>
      </c>
      <c r="BV141" s="72" t="s">
        <v>295</v>
      </c>
      <c r="BW141" s="37" t="s">
        <v>402</v>
      </c>
    </row>
    <row r="142" customFormat="false" ht="14.9" hidden="false" customHeight="false" outlineLevel="0" collapsed="false">
      <c r="A142" s="37" t="s">
        <v>799</v>
      </c>
      <c r="B142" s="62" t="s">
        <v>287</v>
      </c>
      <c r="C142" s="37" t="s">
        <v>782</v>
      </c>
      <c r="D142" s="37" t="n">
        <f aca="false">INDEX(Strain_IDs!C:C,MATCH(Table1[[#This Row],[Strains]],Strain_IDs!D:D,0))</f>
        <v>24</v>
      </c>
      <c r="E142" s="37" t="s">
        <v>783</v>
      </c>
      <c r="F142" s="37" t="s">
        <v>30</v>
      </c>
      <c r="G142" s="37" t="s">
        <v>31</v>
      </c>
      <c r="H142" s="37" t="s">
        <v>784</v>
      </c>
      <c r="I142" s="37" t="s">
        <v>785</v>
      </c>
      <c r="J142" s="37"/>
      <c r="K142" s="37" t="s">
        <v>786</v>
      </c>
      <c r="L142" s="37" t="s">
        <v>30</v>
      </c>
      <c r="M142" s="37" t="s">
        <v>31</v>
      </c>
      <c r="N142" s="37" t="s">
        <v>29</v>
      </c>
      <c r="O142" s="37" t="s">
        <v>785</v>
      </c>
      <c r="P142" s="37"/>
      <c r="Q142" s="37" t="s">
        <v>787</v>
      </c>
      <c r="R142" s="37" t="s">
        <v>290</v>
      </c>
      <c r="S142" s="37" t="s">
        <v>290</v>
      </c>
      <c r="T142" s="37" t="s">
        <v>387</v>
      </c>
      <c r="U142" s="37"/>
      <c r="V142" s="37"/>
      <c r="W142" s="37" t="s">
        <v>816</v>
      </c>
      <c r="X142" s="37" t="n">
        <v>58</v>
      </c>
      <c r="Y142" s="37"/>
      <c r="Z142" s="37" t="n">
        <v>0.7</v>
      </c>
      <c r="AB142" s="37"/>
      <c r="AC142" s="37"/>
      <c r="AD142" s="37"/>
      <c r="AE142" s="37" t="s">
        <v>789</v>
      </c>
      <c r="AF142" s="37" t="s">
        <v>761</v>
      </c>
      <c r="AG142" s="62" t="s">
        <v>390</v>
      </c>
      <c r="AH142" s="63"/>
      <c r="AI142" s="62"/>
      <c r="AJ142" s="37" t="s">
        <v>790</v>
      </c>
      <c r="AK142" s="37" t="n">
        <f aca="false">SUM(Table1[[#This Row],[reported_1302]:[reported_1286_iso]])</f>
        <v>100.01</v>
      </c>
      <c r="AL142" s="53" t="n">
        <v>21.41</v>
      </c>
      <c r="AM142" s="53" t="n">
        <v>11.45</v>
      </c>
      <c r="AN142" s="53" t="n">
        <v>37.83</v>
      </c>
      <c r="AO142" s="53" t="n">
        <v>11.78</v>
      </c>
      <c r="AP142" s="53" t="n">
        <v>3.34</v>
      </c>
      <c r="AQ142" s="64"/>
      <c r="AR142" s="53" t="n">
        <v>13.83</v>
      </c>
      <c r="AS142" s="53" t="n">
        <v>0.32</v>
      </c>
      <c r="AT142" s="53" t="n">
        <v>0.04</v>
      </c>
      <c r="AU142" s="53" t="n">
        <v>0.01</v>
      </c>
      <c r="AW142" s="64"/>
      <c r="AX142" s="64"/>
      <c r="AY142" s="64"/>
      <c r="AZ142" s="64"/>
      <c r="BA142" s="64" t="n">
        <f aca="false">AL142/SUM($AL142:$AQ142)</f>
        <v>0.249504719729635</v>
      </c>
      <c r="BB142" s="64" t="n">
        <f aca="false">AM142/SUM($AL142:$AQ142)</f>
        <v>0.133434331662976</v>
      </c>
      <c r="BC142" s="64" t="n">
        <f aca="false">AN142/SUM($AL142:$AQ142)</f>
        <v>0.440857708891738</v>
      </c>
      <c r="BD142" s="64" t="n">
        <f aca="false">AO142/SUM($AL142:$AQ142)</f>
        <v>0.137280037291691</v>
      </c>
      <c r="BE142" s="64" t="n">
        <f aca="false">AP142/SUM($AL142:$AQ142)</f>
        <v>0.0389232024239599</v>
      </c>
      <c r="BF142" s="64" t="n">
        <f aca="false">AQ142/SUM($AL142:$AQ142)</f>
        <v>0</v>
      </c>
      <c r="BG142" s="65" t="e">
        <f aca="false">#N/A</f>
        <v>#N/A</v>
      </c>
      <c r="BH142" s="37" t="s">
        <v>393</v>
      </c>
      <c r="BI142" s="37" t="s">
        <v>564</v>
      </c>
      <c r="BJ142" s="37" t="s">
        <v>791</v>
      </c>
      <c r="BK142" s="40" t="s">
        <v>4</v>
      </c>
      <c r="BL142" s="40" t="s">
        <v>4</v>
      </c>
      <c r="BM142" s="37" t="s">
        <v>397</v>
      </c>
      <c r="BN142" s="37" t="s">
        <v>397</v>
      </c>
      <c r="BO142" s="37" t="s">
        <v>595</v>
      </c>
      <c r="BP142" s="37" t="s">
        <v>397</v>
      </c>
      <c r="BQ142" s="37" t="s">
        <v>399</v>
      </c>
      <c r="BR142" s="37"/>
      <c r="BS142" s="37"/>
      <c r="BT142" s="37" t="s">
        <v>294</v>
      </c>
      <c r="BU142" s="37" t="s">
        <v>792</v>
      </c>
      <c r="BV142" s="72" t="s">
        <v>295</v>
      </c>
      <c r="BW142" s="37" t="s">
        <v>402</v>
      </c>
    </row>
    <row r="143" customFormat="false" ht="14.9" hidden="false" customHeight="false" outlineLevel="0" collapsed="false">
      <c r="A143" s="37" t="s">
        <v>817</v>
      </c>
      <c r="B143" s="62" t="s">
        <v>287</v>
      </c>
      <c r="C143" s="37" t="s">
        <v>782</v>
      </c>
      <c r="D143" s="37" t="n">
        <f aca="false">INDEX(Strain_IDs!C:C,MATCH(Table1[[#This Row],[Strains]],Strain_IDs!D:D,0))</f>
        <v>24</v>
      </c>
      <c r="E143" s="37" t="s">
        <v>783</v>
      </c>
      <c r="F143" s="37" t="s">
        <v>30</v>
      </c>
      <c r="G143" s="37" t="s">
        <v>31</v>
      </c>
      <c r="H143" s="37" t="s">
        <v>784</v>
      </c>
      <c r="I143" s="37" t="s">
        <v>785</v>
      </c>
      <c r="J143" s="37"/>
      <c r="K143" s="37" t="s">
        <v>786</v>
      </c>
      <c r="L143" s="37" t="s">
        <v>30</v>
      </c>
      <c r="M143" s="37" t="s">
        <v>31</v>
      </c>
      <c r="N143" s="37" t="s">
        <v>29</v>
      </c>
      <c r="O143" s="37" t="s">
        <v>785</v>
      </c>
      <c r="P143" s="37"/>
      <c r="Q143" s="37" t="s">
        <v>787</v>
      </c>
      <c r="R143" s="37" t="s">
        <v>290</v>
      </c>
      <c r="S143" s="37" t="s">
        <v>290</v>
      </c>
      <c r="T143" s="37" t="s">
        <v>387</v>
      </c>
      <c r="U143" s="37"/>
      <c r="V143" s="37"/>
      <c r="W143" s="37" t="s">
        <v>818</v>
      </c>
      <c r="X143" s="37" t="n">
        <v>58</v>
      </c>
      <c r="Y143" s="37"/>
      <c r="Z143" s="37" t="n">
        <v>0.9</v>
      </c>
      <c r="AB143" s="37"/>
      <c r="AC143" s="37"/>
      <c r="AD143" s="37"/>
      <c r="AE143" s="37" t="s">
        <v>789</v>
      </c>
      <c r="AF143" s="37" t="s">
        <v>761</v>
      </c>
      <c r="AG143" s="62" t="s">
        <v>390</v>
      </c>
      <c r="AH143" s="63"/>
      <c r="AI143" s="62"/>
      <c r="AJ143" s="37" t="s">
        <v>790</v>
      </c>
      <c r="AK143" s="37" t="n">
        <f aca="false">SUM(Table1[[#This Row],[reported_1302]:[reported_1286_iso]])</f>
        <v>100</v>
      </c>
      <c r="AL143" s="53" t="n">
        <v>34.39</v>
      </c>
      <c r="AM143" s="53" t="n">
        <v>10.93</v>
      </c>
      <c r="AN143" s="53" t="n">
        <v>36.24</v>
      </c>
      <c r="AO143" s="53" t="n">
        <v>7.22</v>
      </c>
      <c r="AP143" s="53" t="n">
        <v>1.91</v>
      </c>
      <c r="AQ143" s="64"/>
      <c r="AR143" s="53" t="n">
        <v>9.12</v>
      </c>
      <c r="AS143" s="53" t="n">
        <v>0.16</v>
      </c>
      <c r="AT143" s="53" t="n">
        <v>0.02</v>
      </c>
      <c r="AU143" s="53" t="n">
        <v>0.01</v>
      </c>
      <c r="AW143" s="64"/>
      <c r="AX143" s="64"/>
      <c r="AY143" s="64"/>
      <c r="AZ143" s="64"/>
      <c r="BA143" s="64" t="n">
        <f aca="false">AL143/SUM($AL143:$AQ143)</f>
        <v>0.379203881354063</v>
      </c>
      <c r="BB143" s="64" t="n">
        <f aca="false">AM143/SUM($AL143:$AQ143)</f>
        <v>0.120520454294851</v>
      </c>
      <c r="BC143" s="64" t="n">
        <f aca="false">AN143/SUM($AL143:$AQ143)</f>
        <v>0.399603043334436</v>
      </c>
      <c r="BD143" s="64" t="n">
        <f aca="false">AO143/SUM($AL143:$AQ143)</f>
        <v>0.0796118645936707</v>
      </c>
      <c r="BE143" s="64" t="n">
        <f aca="false">AP143/SUM($AL143:$AQ143)</f>
        <v>0.0210607564229794</v>
      </c>
      <c r="BF143" s="64" t="n">
        <f aca="false">AQ143/SUM($AL143:$AQ143)</f>
        <v>0</v>
      </c>
      <c r="BG143" s="65" t="e">
        <f aca="false">#N/A</f>
        <v>#N/A</v>
      </c>
      <c r="BH143" s="37" t="s">
        <v>393</v>
      </c>
      <c r="BI143" s="37" t="s">
        <v>564</v>
      </c>
      <c r="BJ143" s="37" t="s">
        <v>791</v>
      </c>
      <c r="BK143" s="40" t="s">
        <v>4</v>
      </c>
      <c r="BL143" s="40" t="s">
        <v>4</v>
      </c>
      <c r="BM143" s="37" t="s">
        <v>397</v>
      </c>
      <c r="BN143" s="37" t="s">
        <v>397</v>
      </c>
      <c r="BO143" s="37" t="s">
        <v>595</v>
      </c>
      <c r="BP143" s="37" t="s">
        <v>397</v>
      </c>
      <c r="BQ143" s="37" t="s">
        <v>399</v>
      </c>
      <c r="BR143" s="37"/>
      <c r="BS143" s="37"/>
      <c r="BT143" s="37" t="s">
        <v>294</v>
      </c>
      <c r="BU143" s="37" t="s">
        <v>792</v>
      </c>
      <c r="BV143" s="72" t="s">
        <v>295</v>
      </c>
      <c r="BW143" s="37" t="s">
        <v>402</v>
      </c>
    </row>
    <row r="144" customFormat="false" ht="14.9" hidden="false" customHeight="false" outlineLevel="0" collapsed="false">
      <c r="A144" s="37" t="s">
        <v>819</v>
      </c>
      <c r="B144" s="62" t="s">
        <v>287</v>
      </c>
      <c r="C144" s="37" t="s">
        <v>782</v>
      </c>
      <c r="D144" s="37" t="n">
        <f aca="false">INDEX(Strain_IDs!C:C,MATCH(Table1[[#This Row],[Strains]],Strain_IDs!D:D,0))</f>
        <v>24</v>
      </c>
      <c r="E144" s="37" t="s">
        <v>783</v>
      </c>
      <c r="F144" s="37" t="s">
        <v>30</v>
      </c>
      <c r="G144" s="37" t="s">
        <v>31</v>
      </c>
      <c r="H144" s="37" t="s">
        <v>784</v>
      </c>
      <c r="I144" s="37" t="s">
        <v>785</v>
      </c>
      <c r="J144" s="37"/>
      <c r="K144" s="37" t="s">
        <v>786</v>
      </c>
      <c r="L144" s="37" t="s">
        <v>30</v>
      </c>
      <c r="M144" s="37" t="s">
        <v>31</v>
      </c>
      <c r="N144" s="37" t="s">
        <v>29</v>
      </c>
      <c r="O144" s="37" t="s">
        <v>785</v>
      </c>
      <c r="P144" s="37"/>
      <c r="Q144" s="37" t="s">
        <v>787</v>
      </c>
      <c r="R144" s="37" t="s">
        <v>290</v>
      </c>
      <c r="S144" s="37" t="s">
        <v>290</v>
      </c>
      <c r="T144" s="37" t="s">
        <v>387</v>
      </c>
      <c r="U144" s="37"/>
      <c r="V144" s="37"/>
      <c r="W144" s="37" t="s">
        <v>820</v>
      </c>
      <c r="X144" s="37" t="n">
        <v>58</v>
      </c>
      <c r="Y144" s="37"/>
      <c r="Z144" s="37" t="n">
        <v>1.1</v>
      </c>
      <c r="AB144" s="37"/>
      <c r="AC144" s="37"/>
      <c r="AD144" s="37"/>
      <c r="AE144" s="37" t="s">
        <v>789</v>
      </c>
      <c r="AF144" s="37" t="s">
        <v>761</v>
      </c>
      <c r="AG144" s="62" t="s">
        <v>390</v>
      </c>
      <c r="AH144" s="63"/>
      <c r="AI144" s="62"/>
      <c r="AJ144" s="37" t="s">
        <v>790</v>
      </c>
      <c r="AK144" s="37" t="n">
        <f aca="false">SUM(Table1[[#This Row],[reported_1302]:[reported_1286_iso]])</f>
        <v>100</v>
      </c>
      <c r="AL144" s="53" t="n">
        <v>22.72</v>
      </c>
      <c r="AM144" s="53" t="n">
        <v>13.31</v>
      </c>
      <c r="AN144" s="53" t="n">
        <v>35.99</v>
      </c>
      <c r="AO144" s="53" t="n">
        <v>11.09</v>
      </c>
      <c r="AP144" s="53" t="n">
        <v>4.31</v>
      </c>
      <c r="AQ144" s="64"/>
      <c r="AR144" s="53" t="n">
        <v>12.02</v>
      </c>
      <c r="AS144" s="53" t="n">
        <v>0.49</v>
      </c>
      <c r="AT144" s="53" t="n">
        <v>0.06</v>
      </c>
      <c r="AU144" s="53" t="n">
        <v>0.01</v>
      </c>
      <c r="AW144" s="64"/>
      <c r="AX144" s="64"/>
      <c r="AY144" s="64"/>
      <c r="AZ144" s="64"/>
      <c r="BA144" s="64" t="n">
        <f aca="false">AL144/SUM($AL144:$AQ144)</f>
        <v>0.259894760924274</v>
      </c>
      <c r="BB144" s="64" t="n">
        <f aca="false">AM144/SUM($AL144:$AQ144)</f>
        <v>0.152253488904141</v>
      </c>
      <c r="BC144" s="64" t="n">
        <f aca="false">AN144/SUM($AL144:$AQ144)</f>
        <v>0.411690688629604</v>
      </c>
      <c r="BD144" s="64" t="n">
        <f aca="false">AO144/SUM($AL144:$AQ144)</f>
        <v>0.126858842370167</v>
      </c>
      <c r="BE144" s="64" t="n">
        <f aca="false">AP144/SUM($AL144:$AQ144)</f>
        <v>0.0493022191718142</v>
      </c>
      <c r="BF144" s="64" t="n">
        <f aca="false">AQ144/SUM($AL144:$AQ144)</f>
        <v>0</v>
      </c>
      <c r="BG144" s="65" t="e">
        <f aca="false">#N/A</f>
        <v>#N/A</v>
      </c>
      <c r="BH144" s="37" t="s">
        <v>393</v>
      </c>
      <c r="BI144" s="37" t="s">
        <v>564</v>
      </c>
      <c r="BJ144" s="37" t="s">
        <v>791</v>
      </c>
      <c r="BK144" s="40" t="s">
        <v>4</v>
      </c>
      <c r="BL144" s="40" t="s">
        <v>4</v>
      </c>
      <c r="BM144" s="37" t="s">
        <v>397</v>
      </c>
      <c r="BN144" s="37" t="s">
        <v>397</v>
      </c>
      <c r="BO144" s="37" t="s">
        <v>595</v>
      </c>
      <c r="BP144" s="37" t="s">
        <v>397</v>
      </c>
      <c r="BQ144" s="37" t="s">
        <v>399</v>
      </c>
      <c r="BR144" s="37"/>
      <c r="BS144" s="37"/>
      <c r="BT144" s="37" t="s">
        <v>294</v>
      </c>
      <c r="BU144" s="37" t="s">
        <v>792</v>
      </c>
      <c r="BV144" s="72" t="s">
        <v>295</v>
      </c>
      <c r="BW144" s="37" t="s">
        <v>402</v>
      </c>
    </row>
    <row r="145" customFormat="false" ht="14.9" hidden="false" customHeight="false" outlineLevel="0" collapsed="false">
      <c r="A145" s="37" t="s">
        <v>821</v>
      </c>
      <c r="B145" s="62" t="s">
        <v>287</v>
      </c>
      <c r="C145" s="37" t="s">
        <v>782</v>
      </c>
      <c r="D145" s="37" t="n">
        <f aca="false">INDEX(Strain_IDs!C:C,MATCH(Table1[[#This Row],[Strains]],Strain_IDs!D:D,0))</f>
        <v>24</v>
      </c>
      <c r="E145" s="37" t="s">
        <v>783</v>
      </c>
      <c r="F145" s="37" t="s">
        <v>30</v>
      </c>
      <c r="G145" s="37" t="s">
        <v>31</v>
      </c>
      <c r="H145" s="37" t="s">
        <v>784</v>
      </c>
      <c r="I145" s="37" t="s">
        <v>785</v>
      </c>
      <c r="J145" s="37"/>
      <c r="K145" s="37" t="s">
        <v>786</v>
      </c>
      <c r="L145" s="37" t="s">
        <v>30</v>
      </c>
      <c r="M145" s="37" t="s">
        <v>31</v>
      </c>
      <c r="N145" s="37" t="s">
        <v>29</v>
      </c>
      <c r="O145" s="37" t="s">
        <v>785</v>
      </c>
      <c r="P145" s="37"/>
      <c r="Q145" s="37" t="s">
        <v>787</v>
      </c>
      <c r="R145" s="37" t="s">
        <v>290</v>
      </c>
      <c r="S145" s="37" t="s">
        <v>290</v>
      </c>
      <c r="T145" s="37" t="s">
        <v>387</v>
      </c>
      <c r="U145" s="37"/>
      <c r="V145" s="37"/>
      <c r="W145" s="37" t="s">
        <v>822</v>
      </c>
      <c r="X145" s="37" t="n">
        <v>58</v>
      </c>
      <c r="Y145" s="37"/>
      <c r="Z145" s="37" t="n">
        <v>0.7</v>
      </c>
      <c r="AB145" s="37"/>
      <c r="AC145" s="37"/>
      <c r="AD145" s="37"/>
      <c r="AE145" s="37" t="s">
        <v>823</v>
      </c>
      <c r="AF145" s="37" t="s">
        <v>673</v>
      </c>
      <c r="AG145" s="62" t="s">
        <v>446</v>
      </c>
      <c r="AH145" s="63"/>
      <c r="AI145" s="62"/>
      <c r="AJ145" s="37" t="s">
        <v>790</v>
      </c>
      <c r="AK145" s="37" t="n">
        <f aca="false">SUM(Table1[[#This Row],[reported_1302]:[reported_1286_iso]])</f>
        <v>100.02</v>
      </c>
      <c r="AL145" s="64" t="n">
        <v>8.18</v>
      </c>
      <c r="AM145" s="64" t="n">
        <v>4.69</v>
      </c>
      <c r="AN145" s="64" t="n">
        <v>24.48</v>
      </c>
      <c r="AO145" s="64" t="n">
        <v>12.68</v>
      </c>
      <c r="AP145" s="64" t="n">
        <v>9.55</v>
      </c>
      <c r="AQ145" s="64"/>
      <c r="AR145" s="64" t="n">
        <v>39.39</v>
      </c>
      <c r="AS145" s="64" t="n">
        <v>0.93</v>
      </c>
      <c r="AT145" s="64" t="n">
        <v>0.11</v>
      </c>
      <c r="AU145" s="64" t="n">
        <v>0.01</v>
      </c>
      <c r="AV145" s="64"/>
      <c r="AW145" s="64"/>
      <c r="AX145" s="64"/>
      <c r="AY145" s="64"/>
      <c r="AZ145" s="64"/>
      <c r="BA145" s="64" t="n">
        <f aca="false">AL145/SUM($AL145:$AQ145)</f>
        <v>0.137294394091977</v>
      </c>
      <c r="BB145" s="64" t="n">
        <f aca="false">AM145/SUM($AL145:$AQ145)</f>
        <v>0.0787176905001678</v>
      </c>
      <c r="BC145" s="64" t="n">
        <f aca="false">AN145/SUM($AL145:$AQ145)</f>
        <v>0.410876132930514</v>
      </c>
      <c r="BD145" s="64" t="n">
        <f aca="false">AO145/SUM($AL145:$AQ145)</f>
        <v>0.212823094998322</v>
      </c>
      <c r="BE145" s="64" t="n">
        <f aca="false">AP145/SUM($AL145:$AQ145)</f>
        <v>0.16028868747902</v>
      </c>
      <c r="BF145" s="64" t="n">
        <f aca="false">AQ145/SUM($AL145:$AQ145)</f>
        <v>0</v>
      </c>
      <c r="BG145" s="65" t="e">
        <f aca="false">#N/A</f>
        <v>#N/A</v>
      </c>
      <c r="BH145" s="37" t="s">
        <v>393</v>
      </c>
      <c r="BI145" s="37" t="s">
        <v>564</v>
      </c>
      <c r="BJ145" s="37" t="s">
        <v>791</v>
      </c>
      <c r="BK145" s="40" t="s">
        <v>4</v>
      </c>
      <c r="BL145" s="40" t="s">
        <v>4</v>
      </c>
      <c r="BM145" s="37" t="s">
        <v>397</v>
      </c>
      <c r="BN145" s="37" t="s">
        <v>397</v>
      </c>
      <c r="BO145" s="37" t="s">
        <v>595</v>
      </c>
      <c r="BP145" s="37" t="s">
        <v>397</v>
      </c>
      <c r="BQ145" s="37" t="s">
        <v>399</v>
      </c>
      <c r="BR145" s="37"/>
      <c r="BS145" s="37"/>
      <c r="BT145" s="37" t="s">
        <v>294</v>
      </c>
      <c r="BU145" s="37" t="s">
        <v>792</v>
      </c>
      <c r="BV145" s="72" t="s">
        <v>295</v>
      </c>
      <c r="BW145" s="37" t="s">
        <v>402</v>
      </c>
    </row>
    <row r="146" customFormat="false" ht="14.9" hidden="false" customHeight="false" outlineLevel="0" collapsed="false">
      <c r="A146" s="37" t="s">
        <v>824</v>
      </c>
      <c r="B146" s="62" t="s">
        <v>287</v>
      </c>
      <c r="C146" s="37" t="s">
        <v>782</v>
      </c>
      <c r="D146" s="37" t="n">
        <f aca="false">INDEX(Strain_IDs!C:C,MATCH(Table1[[#This Row],[Strains]],Strain_IDs!D:D,0))</f>
        <v>24</v>
      </c>
      <c r="E146" s="37" t="s">
        <v>783</v>
      </c>
      <c r="F146" s="37" t="s">
        <v>30</v>
      </c>
      <c r="G146" s="37" t="s">
        <v>31</v>
      </c>
      <c r="H146" s="37" t="s">
        <v>784</v>
      </c>
      <c r="I146" s="37" t="s">
        <v>785</v>
      </c>
      <c r="J146" s="37"/>
      <c r="K146" s="37" t="s">
        <v>786</v>
      </c>
      <c r="L146" s="37" t="s">
        <v>30</v>
      </c>
      <c r="M146" s="37" t="s">
        <v>31</v>
      </c>
      <c r="N146" s="37" t="s">
        <v>29</v>
      </c>
      <c r="O146" s="37" t="s">
        <v>785</v>
      </c>
      <c r="P146" s="37"/>
      <c r="Q146" s="37" t="s">
        <v>787</v>
      </c>
      <c r="R146" s="37" t="s">
        <v>290</v>
      </c>
      <c r="S146" s="37" t="s">
        <v>290</v>
      </c>
      <c r="T146" s="37" t="s">
        <v>387</v>
      </c>
      <c r="U146" s="37"/>
      <c r="V146" s="37"/>
      <c r="W146" s="37" t="s">
        <v>825</v>
      </c>
      <c r="X146" s="37" t="n">
        <v>58</v>
      </c>
      <c r="Y146" s="37"/>
      <c r="Z146" s="37" t="n">
        <v>0.7</v>
      </c>
      <c r="AB146" s="37"/>
      <c r="AC146" s="37"/>
      <c r="AD146" s="37"/>
      <c r="AE146" s="37" t="s">
        <v>826</v>
      </c>
      <c r="AF146" s="37" t="s">
        <v>673</v>
      </c>
      <c r="AG146" s="62" t="s">
        <v>446</v>
      </c>
      <c r="AH146" s="63"/>
      <c r="AI146" s="62"/>
      <c r="AJ146" s="37" t="s">
        <v>790</v>
      </c>
      <c r="AK146" s="37" t="n">
        <f aca="false">SUM(Table1[[#This Row],[reported_1302]:[reported_1286_iso]])</f>
        <v>100</v>
      </c>
      <c r="AL146" s="64" t="n">
        <v>42.25</v>
      </c>
      <c r="AM146" s="64" t="n">
        <v>7.34</v>
      </c>
      <c r="AN146" s="64" t="n">
        <v>25.09</v>
      </c>
      <c r="AO146" s="64" t="n">
        <v>8.01</v>
      </c>
      <c r="AP146" s="64" t="n">
        <v>3.25</v>
      </c>
      <c r="AQ146" s="64"/>
      <c r="AR146" s="64" t="n">
        <v>13.75</v>
      </c>
      <c r="AS146" s="64" t="n">
        <v>0.27</v>
      </c>
      <c r="AT146" s="64" t="n">
        <v>0.03</v>
      </c>
      <c r="AU146" s="64" t="n">
        <v>0.01</v>
      </c>
      <c r="AV146" s="64"/>
      <c r="AW146" s="64"/>
      <c r="AX146" s="64"/>
      <c r="AY146" s="64"/>
      <c r="AZ146" s="64"/>
      <c r="BA146" s="64" t="n">
        <f aca="false">AL146/SUM($AL146:$AQ146)</f>
        <v>0.491622061903654</v>
      </c>
      <c r="BB146" s="64" t="n">
        <f aca="false">AM146/SUM($AL146:$AQ146)</f>
        <v>0.0854084244821969</v>
      </c>
      <c r="BC146" s="64" t="n">
        <f aca="false">AN146/SUM($AL146:$AQ146)</f>
        <v>0.291947870607401</v>
      </c>
      <c r="BD146" s="64" t="n">
        <f aca="false">AO146/SUM($AL146:$AQ146)</f>
        <v>0.0932045613218525</v>
      </c>
      <c r="BE146" s="64" t="n">
        <f aca="false">AP146/SUM($AL146:$AQ146)</f>
        <v>0.0378170816848964</v>
      </c>
      <c r="BF146" s="64" t="n">
        <f aca="false">AQ146/SUM($AL146:$AQ146)</f>
        <v>0</v>
      </c>
      <c r="BG146" s="65" t="e">
        <f aca="false">#N/A</f>
        <v>#N/A</v>
      </c>
      <c r="BH146" s="37" t="s">
        <v>393</v>
      </c>
      <c r="BI146" s="37" t="s">
        <v>564</v>
      </c>
      <c r="BJ146" s="37" t="s">
        <v>791</v>
      </c>
      <c r="BK146" s="40" t="s">
        <v>4</v>
      </c>
      <c r="BL146" s="40" t="s">
        <v>4</v>
      </c>
      <c r="BM146" s="37" t="s">
        <v>397</v>
      </c>
      <c r="BN146" s="37" t="s">
        <v>397</v>
      </c>
      <c r="BO146" s="37" t="s">
        <v>595</v>
      </c>
      <c r="BP146" s="37" t="s">
        <v>397</v>
      </c>
      <c r="BQ146" s="37" t="s">
        <v>399</v>
      </c>
      <c r="BR146" s="37"/>
      <c r="BS146" s="37"/>
      <c r="BT146" s="37" t="s">
        <v>294</v>
      </c>
      <c r="BU146" s="37" t="s">
        <v>792</v>
      </c>
      <c r="BV146" s="72" t="s">
        <v>295</v>
      </c>
      <c r="BW146" s="37" t="s">
        <v>402</v>
      </c>
    </row>
    <row r="147" customFormat="false" ht="14.9" hidden="false" customHeight="false" outlineLevel="0" collapsed="false">
      <c r="A147" s="37" t="s">
        <v>793</v>
      </c>
      <c r="B147" s="62" t="s">
        <v>287</v>
      </c>
      <c r="C147" s="37" t="s">
        <v>782</v>
      </c>
      <c r="D147" s="37" t="n">
        <f aca="false">INDEX(Strain_IDs!C:C,MATCH(Table1[[#This Row],[Strains]],Strain_IDs!D:D,0))</f>
        <v>24</v>
      </c>
      <c r="E147" s="37" t="s">
        <v>783</v>
      </c>
      <c r="F147" s="37" t="s">
        <v>30</v>
      </c>
      <c r="G147" s="37" t="s">
        <v>31</v>
      </c>
      <c r="H147" s="37" t="s">
        <v>784</v>
      </c>
      <c r="I147" s="37" t="s">
        <v>785</v>
      </c>
      <c r="J147" s="37"/>
      <c r="K147" s="37" t="s">
        <v>786</v>
      </c>
      <c r="L147" s="37" t="s">
        <v>30</v>
      </c>
      <c r="M147" s="37" t="s">
        <v>31</v>
      </c>
      <c r="N147" s="37" t="s">
        <v>29</v>
      </c>
      <c r="O147" s="37" t="s">
        <v>785</v>
      </c>
      <c r="P147" s="37"/>
      <c r="Q147" s="37" t="s">
        <v>787</v>
      </c>
      <c r="R147" s="37" t="s">
        <v>290</v>
      </c>
      <c r="S147" s="37" t="s">
        <v>290</v>
      </c>
      <c r="T147" s="37" t="s">
        <v>387</v>
      </c>
      <c r="U147" s="37"/>
      <c r="V147" s="37"/>
      <c r="W147" s="37" t="s">
        <v>827</v>
      </c>
      <c r="X147" s="37" t="n">
        <v>58</v>
      </c>
      <c r="Y147" s="37"/>
      <c r="Z147" s="37" t="n">
        <v>0.7</v>
      </c>
      <c r="AB147" s="37"/>
      <c r="AC147" s="37"/>
      <c r="AD147" s="37"/>
      <c r="AE147" s="37" t="s">
        <v>789</v>
      </c>
      <c r="AF147" s="37" t="s">
        <v>673</v>
      </c>
      <c r="AG147" s="62" t="s">
        <v>446</v>
      </c>
      <c r="AH147" s="63"/>
      <c r="AI147" s="62"/>
      <c r="AJ147" s="37" t="s">
        <v>790</v>
      </c>
      <c r="AK147" s="37" t="n">
        <f aca="false">SUM(Table1[[#This Row],[reported_1302]:[reported_1286_iso]])</f>
        <v>100</v>
      </c>
      <c r="AL147" s="64" t="n">
        <v>28.49</v>
      </c>
      <c r="AM147" s="64" t="n">
        <v>8.57</v>
      </c>
      <c r="AN147" s="64" t="n">
        <v>27.83</v>
      </c>
      <c r="AO147" s="64" t="n">
        <v>9.73</v>
      </c>
      <c r="AP147" s="64" t="n">
        <v>6</v>
      </c>
      <c r="AQ147" s="64"/>
      <c r="AR147" s="64" t="n">
        <v>18.64</v>
      </c>
      <c r="AS147" s="64" t="n">
        <v>0.63</v>
      </c>
      <c r="AT147" s="64" t="n">
        <v>0.1</v>
      </c>
      <c r="AU147" s="64" t="n">
        <v>0.01</v>
      </c>
      <c r="AV147" s="64"/>
      <c r="AW147" s="64"/>
      <c r="AX147" s="64"/>
      <c r="AY147" s="64"/>
      <c r="AZ147" s="64"/>
      <c r="BA147" s="64" t="n">
        <f aca="false">AL147/SUM($AL147:$AQ147)</f>
        <v>0.353386256512032</v>
      </c>
      <c r="BB147" s="64" t="n">
        <f aca="false">AM147/SUM($AL147:$AQ147)</f>
        <v>0.106301165963781</v>
      </c>
      <c r="BC147" s="64" t="n">
        <f aca="false">AN147/SUM($AL147:$AQ147)</f>
        <v>0.34519970230712</v>
      </c>
      <c r="BD147" s="64" t="n">
        <f aca="false">AO147/SUM($AL147:$AQ147)</f>
        <v>0.120689655172414</v>
      </c>
      <c r="BE147" s="64" t="n">
        <f aca="false">AP147/SUM($AL147:$AQ147)</f>
        <v>0.0744232200446539</v>
      </c>
      <c r="BF147" s="64" t="n">
        <f aca="false">AQ147/SUM($AL147:$AQ147)</f>
        <v>0</v>
      </c>
      <c r="BG147" s="65" t="e">
        <f aca="false">#N/A</f>
        <v>#N/A</v>
      </c>
      <c r="BH147" s="37" t="s">
        <v>393</v>
      </c>
      <c r="BI147" s="37" t="s">
        <v>564</v>
      </c>
      <c r="BJ147" s="37" t="s">
        <v>791</v>
      </c>
      <c r="BK147" s="40" t="s">
        <v>4</v>
      </c>
      <c r="BL147" s="40" t="s">
        <v>4</v>
      </c>
      <c r="BM147" s="37" t="s">
        <v>397</v>
      </c>
      <c r="BN147" s="37" t="s">
        <v>397</v>
      </c>
      <c r="BO147" s="37" t="s">
        <v>595</v>
      </c>
      <c r="BP147" s="37" t="s">
        <v>397</v>
      </c>
      <c r="BQ147" s="37" t="s">
        <v>399</v>
      </c>
      <c r="BR147" s="37"/>
      <c r="BS147" s="37"/>
      <c r="BT147" s="37" t="s">
        <v>294</v>
      </c>
      <c r="BU147" s="37" t="s">
        <v>792</v>
      </c>
      <c r="BV147" s="72" t="s">
        <v>295</v>
      </c>
      <c r="BW147" s="37" t="s">
        <v>402</v>
      </c>
    </row>
    <row r="148" customFormat="false" ht="14.9" hidden="false" customHeight="false" outlineLevel="0" collapsed="false">
      <c r="A148" s="37" t="s">
        <v>828</v>
      </c>
      <c r="B148" s="62" t="s">
        <v>287</v>
      </c>
      <c r="C148" s="37" t="s">
        <v>782</v>
      </c>
      <c r="D148" s="37" t="n">
        <f aca="false">INDEX(Strain_IDs!C:C,MATCH(Table1[[#This Row],[Strains]],Strain_IDs!D:D,0))</f>
        <v>24</v>
      </c>
      <c r="E148" s="37" t="s">
        <v>783</v>
      </c>
      <c r="F148" s="37" t="s">
        <v>30</v>
      </c>
      <c r="G148" s="37" t="s">
        <v>31</v>
      </c>
      <c r="H148" s="37" t="s">
        <v>784</v>
      </c>
      <c r="I148" s="37" t="s">
        <v>785</v>
      </c>
      <c r="J148" s="37"/>
      <c r="K148" s="37" t="s">
        <v>786</v>
      </c>
      <c r="L148" s="37" t="s">
        <v>30</v>
      </c>
      <c r="M148" s="37" t="s">
        <v>31</v>
      </c>
      <c r="N148" s="37" t="s">
        <v>29</v>
      </c>
      <c r="O148" s="37" t="s">
        <v>785</v>
      </c>
      <c r="P148" s="37"/>
      <c r="Q148" s="37" t="s">
        <v>787</v>
      </c>
      <c r="R148" s="37" t="s">
        <v>290</v>
      </c>
      <c r="S148" s="37" t="s">
        <v>290</v>
      </c>
      <c r="T148" s="37" t="s">
        <v>387</v>
      </c>
      <c r="U148" s="37"/>
      <c r="V148" s="37"/>
      <c r="W148" s="37" t="s">
        <v>829</v>
      </c>
      <c r="X148" s="37" t="n">
        <v>58</v>
      </c>
      <c r="Y148" s="37"/>
      <c r="Z148" s="37" t="n">
        <v>0.7</v>
      </c>
      <c r="AB148" s="37"/>
      <c r="AC148" s="37"/>
      <c r="AD148" s="37"/>
      <c r="AE148" s="37" t="s">
        <v>830</v>
      </c>
      <c r="AF148" s="37" t="s">
        <v>673</v>
      </c>
      <c r="AG148" s="62" t="s">
        <v>446</v>
      </c>
      <c r="AH148" s="63"/>
      <c r="AI148" s="62"/>
      <c r="AJ148" s="37" t="s">
        <v>790</v>
      </c>
      <c r="AK148" s="37" t="n">
        <f aca="false">SUM(Table1[[#This Row],[reported_1302]:[reported_1286_iso]])</f>
        <v>100.01</v>
      </c>
      <c r="AL148" s="64" t="n">
        <v>32.54</v>
      </c>
      <c r="AM148" s="64" t="n">
        <v>10.63</v>
      </c>
      <c r="AN148" s="64" t="n">
        <v>33.09</v>
      </c>
      <c r="AO148" s="64" t="n">
        <v>8.8</v>
      </c>
      <c r="AP148" s="64" t="n">
        <v>3.01</v>
      </c>
      <c r="AQ148" s="64"/>
      <c r="AR148" s="64" t="n">
        <v>11.64</v>
      </c>
      <c r="AS148" s="64" t="n">
        <v>0.26</v>
      </c>
      <c r="AT148" s="64" t="n">
        <v>0.03</v>
      </c>
      <c r="AU148" s="64" t="n">
        <v>0.01</v>
      </c>
      <c r="AV148" s="64"/>
      <c r="AW148" s="64"/>
      <c r="AX148" s="64"/>
      <c r="AY148" s="64"/>
      <c r="AZ148" s="64"/>
      <c r="BA148" s="64" t="n">
        <f aca="false">AL148/SUM($AL148:$AQ148)</f>
        <v>0.369478823662995</v>
      </c>
      <c r="BB148" s="64" t="n">
        <f aca="false">AM148/SUM($AL148:$AQ148)</f>
        <v>0.12069944362439</v>
      </c>
      <c r="BC148" s="64" t="n">
        <f aca="false">AN148/SUM($AL148:$AQ148)</f>
        <v>0.375723856023618</v>
      </c>
      <c r="BD148" s="64" t="n">
        <f aca="false">AO148/SUM($AL148:$AQ148)</f>
        <v>0.0999205177699557</v>
      </c>
      <c r="BE148" s="64" t="n">
        <f aca="false">AP148/SUM($AL148:$AQ148)</f>
        <v>0.0341773589190417</v>
      </c>
      <c r="BF148" s="64" t="n">
        <f aca="false">AQ148/SUM($AL148:$AQ148)</f>
        <v>0</v>
      </c>
      <c r="BG148" s="65" t="e">
        <f aca="false">#N/A</f>
        <v>#N/A</v>
      </c>
      <c r="BH148" s="37" t="s">
        <v>393</v>
      </c>
      <c r="BI148" s="37" t="s">
        <v>564</v>
      </c>
      <c r="BJ148" s="37" t="s">
        <v>791</v>
      </c>
      <c r="BK148" s="40" t="s">
        <v>4</v>
      </c>
      <c r="BL148" s="40" t="s">
        <v>4</v>
      </c>
      <c r="BM148" s="37" t="s">
        <v>397</v>
      </c>
      <c r="BN148" s="37" t="s">
        <v>397</v>
      </c>
      <c r="BO148" s="37" t="s">
        <v>595</v>
      </c>
      <c r="BP148" s="37" t="s">
        <v>397</v>
      </c>
      <c r="BQ148" s="37" t="s">
        <v>399</v>
      </c>
      <c r="BR148" s="37"/>
      <c r="BS148" s="37"/>
      <c r="BT148" s="37" t="s">
        <v>294</v>
      </c>
      <c r="BU148" s="37" t="s">
        <v>792</v>
      </c>
      <c r="BV148" s="72" t="s">
        <v>295</v>
      </c>
      <c r="BW148" s="37" t="s">
        <v>402</v>
      </c>
    </row>
    <row r="149" customFormat="false" ht="14.9" hidden="false" customHeight="false" outlineLevel="0" collapsed="false">
      <c r="A149" s="37" t="s">
        <v>831</v>
      </c>
      <c r="B149" s="62" t="s">
        <v>287</v>
      </c>
      <c r="C149" s="37" t="s">
        <v>782</v>
      </c>
      <c r="D149" s="37" t="n">
        <f aca="false">INDEX(Strain_IDs!C:C,MATCH(Table1[[#This Row],[Strains]],Strain_IDs!D:D,0))</f>
        <v>24</v>
      </c>
      <c r="E149" s="37" t="s">
        <v>783</v>
      </c>
      <c r="F149" s="37" t="s">
        <v>30</v>
      </c>
      <c r="G149" s="37" t="s">
        <v>31</v>
      </c>
      <c r="H149" s="37" t="s">
        <v>784</v>
      </c>
      <c r="I149" s="37" t="s">
        <v>785</v>
      </c>
      <c r="J149" s="37"/>
      <c r="K149" s="37" t="s">
        <v>786</v>
      </c>
      <c r="L149" s="37" t="s">
        <v>30</v>
      </c>
      <c r="M149" s="37" t="s">
        <v>31</v>
      </c>
      <c r="N149" s="37" t="s">
        <v>29</v>
      </c>
      <c r="O149" s="37" t="s">
        <v>785</v>
      </c>
      <c r="P149" s="37"/>
      <c r="Q149" s="37" t="s">
        <v>787</v>
      </c>
      <c r="R149" s="37" t="s">
        <v>290</v>
      </c>
      <c r="S149" s="37" t="s">
        <v>290</v>
      </c>
      <c r="T149" s="37" t="s">
        <v>387</v>
      </c>
      <c r="U149" s="37"/>
      <c r="V149" s="37"/>
      <c r="W149" s="37" t="s">
        <v>832</v>
      </c>
      <c r="X149" s="37" t="n">
        <v>58</v>
      </c>
      <c r="Y149" s="37"/>
      <c r="Z149" s="37" t="n">
        <v>0.7</v>
      </c>
      <c r="AB149" s="37"/>
      <c r="AC149" s="37"/>
      <c r="AD149" s="37"/>
      <c r="AE149" s="37" t="s">
        <v>833</v>
      </c>
      <c r="AF149" s="37" t="s">
        <v>673</v>
      </c>
      <c r="AG149" s="62" t="s">
        <v>446</v>
      </c>
      <c r="AH149" s="63"/>
      <c r="AI149" s="62"/>
      <c r="AJ149" s="37" t="s">
        <v>790</v>
      </c>
      <c r="AK149" s="37" t="n">
        <f aca="false">SUM(Table1[[#This Row],[reported_1302]:[reported_1286_iso]])</f>
        <v>100.01</v>
      </c>
      <c r="AL149" s="64" t="n">
        <v>9.25</v>
      </c>
      <c r="AM149" s="64" t="n">
        <v>8.76</v>
      </c>
      <c r="AN149" s="64" t="n">
        <v>34.66</v>
      </c>
      <c r="AO149" s="64" t="n">
        <v>15.75</v>
      </c>
      <c r="AP149" s="64" t="n">
        <v>7.2</v>
      </c>
      <c r="AQ149" s="64"/>
      <c r="AR149" s="64" t="n">
        <v>23.84</v>
      </c>
      <c r="AS149" s="64" t="n">
        <v>0.49</v>
      </c>
      <c r="AT149" s="64" t="n">
        <v>0.05</v>
      </c>
      <c r="AU149" s="64" t="n">
        <v>0.01</v>
      </c>
      <c r="AV149" s="64"/>
      <c r="AW149" s="64"/>
      <c r="AX149" s="64"/>
      <c r="AY149" s="64"/>
      <c r="AZ149" s="64"/>
      <c r="BA149" s="64" t="n">
        <f aca="false">AL149/SUM($AL149:$AQ149)</f>
        <v>0.122322137000793</v>
      </c>
      <c r="BB149" s="64" t="n">
        <f aca="false">AM149/SUM($AL149:$AQ149)</f>
        <v>0.115842369743454</v>
      </c>
      <c r="BC149" s="64" t="n">
        <f aca="false">AN149/SUM($AL149:$AQ149)</f>
        <v>0.458344353345676</v>
      </c>
      <c r="BD149" s="64" t="n">
        <f aca="false">AO149/SUM($AL149:$AQ149)</f>
        <v>0.208278233271621</v>
      </c>
      <c r="BE149" s="64" t="n">
        <f aca="false">AP149/SUM($AL149:$AQ149)</f>
        <v>0.0952129066384555</v>
      </c>
      <c r="BF149" s="64" t="n">
        <f aca="false">AQ149/SUM($AL149:$AQ149)</f>
        <v>0</v>
      </c>
      <c r="BG149" s="65" t="e">
        <f aca="false">#N/A</f>
        <v>#N/A</v>
      </c>
      <c r="BH149" s="37" t="s">
        <v>393</v>
      </c>
      <c r="BI149" s="37" t="s">
        <v>564</v>
      </c>
      <c r="BJ149" s="37" t="s">
        <v>791</v>
      </c>
      <c r="BK149" s="40" t="s">
        <v>4</v>
      </c>
      <c r="BL149" s="40" t="s">
        <v>4</v>
      </c>
      <c r="BM149" s="37" t="s">
        <v>397</v>
      </c>
      <c r="BN149" s="37" t="s">
        <v>397</v>
      </c>
      <c r="BO149" s="37" t="s">
        <v>595</v>
      </c>
      <c r="BP149" s="37" t="s">
        <v>397</v>
      </c>
      <c r="BQ149" s="37" t="s">
        <v>399</v>
      </c>
      <c r="BR149" s="37"/>
      <c r="BS149" s="37"/>
      <c r="BT149" s="37" t="s">
        <v>294</v>
      </c>
      <c r="BU149" s="37" t="s">
        <v>792</v>
      </c>
      <c r="BV149" s="72" t="s">
        <v>295</v>
      </c>
      <c r="BW149" s="37" t="s">
        <v>402</v>
      </c>
    </row>
    <row r="150" customFormat="false" ht="14.9" hidden="false" customHeight="false" outlineLevel="0" collapsed="false">
      <c r="A150" s="37" t="s">
        <v>834</v>
      </c>
      <c r="B150" s="62" t="s">
        <v>287</v>
      </c>
      <c r="C150" s="37" t="s">
        <v>782</v>
      </c>
      <c r="D150" s="37" t="n">
        <f aca="false">INDEX(Strain_IDs!C:C,MATCH(Table1[[#This Row],[Strains]],Strain_IDs!D:D,0))</f>
        <v>24</v>
      </c>
      <c r="E150" s="37" t="s">
        <v>783</v>
      </c>
      <c r="F150" s="37" t="s">
        <v>30</v>
      </c>
      <c r="G150" s="37" t="s">
        <v>31</v>
      </c>
      <c r="H150" s="37" t="s">
        <v>784</v>
      </c>
      <c r="I150" s="37" t="s">
        <v>785</v>
      </c>
      <c r="J150" s="37"/>
      <c r="K150" s="37" t="s">
        <v>786</v>
      </c>
      <c r="L150" s="37" t="s">
        <v>30</v>
      </c>
      <c r="M150" s="37" t="s">
        <v>31</v>
      </c>
      <c r="N150" s="37" t="s">
        <v>29</v>
      </c>
      <c r="O150" s="37" t="s">
        <v>785</v>
      </c>
      <c r="P150" s="37"/>
      <c r="Q150" s="37" t="s">
        <v>787</v>
      </c>
      <c r="R150" s="37" t="s">
        <v>290</v>
      </c>
      <c r="S150" s="37" t="s">
        <v>290</v>
      </c>
      <c r="T150" s="37" t="s">
        <v>387</v>
      </c>
      <c r="U150" s="37"/>
      <c r="V150" s="37"/>
      <c r="W150" s="37" t="s">
        <v>835</v>
      </c>
      <c r="X150" s="37" t="n">
        <v>58</v>
      </c>
      <c r="Y150" s="37"/>
      <c r="Z150" s="37" t="n">
        <v>0.7</v>
      </c>
      <c r="AB150" s="37"/>
      <c r="AC150" s="37"/>
      <c r="AD150" s="37"/>
      <c r="AE150" s="37" t="s">
        <v>823</v>
      </c>
      <c r="AF150" s="37" t="s">
        <v>673</v>
      </c>
      <c r="AG150" s="62" t="s">
        <v>390</v>
      </c>
      <c r="AH150" s="63"/>
      <c r="AI150" s="62"/>
      <c r="AJ150" s="37" t="s">
        <v>790</v>
      </c>
      <c r="AK150" s="37" t="n">
        <f aca="false">SUM(Table1[[#This Row],[reported_1302]:[reported_1286_iso]])</f>
        <v>99.99</v>
      </c>
      <c r="AL150" s="64" t="n">
        <v>7.64</v>
      </c>
      <c r="AM150" s="64" t="n">
        <v>5.9</v>
      </c>
      <c r="AN150" s="64" t="n">
        <v>30.32</v>
      </c>
      <c r="AO150" s="64" t="n">
        <v>12.84</v>
      </c>
      <c r="AP150" s="64" t="n">
        <v>7.75</v>
      </c>
      <c r="AQ150" s="64"/>
      <c r="AR150" s="64" t="n">
        <v>34.73</v>
      </c>
      <c r="AS150" s="64" t="n">
        <v>0.74</v>
      </c>
      <c r="AT150" s="64" t="n">
        <v>0.06</v>
      </c>
      <c r="AU150" s="64" t="n">
        <v>0.01</v>
      </c>
      <c r="AV150" s="64"/>
      <c r="AW150" s="64"/>
      <c r="AX150" s="64"/>
      <c r="AY150" s="64"/>
      <c r="AZ150" s="64"/>
      <c r="BA150" s="64" t="n">
        <f aca="false">AL150/SUM($AL150:$AQ150)</f>
        <v>0.118541505042669</v>
      </c>
      <c r="BB150" s="64" t="n">
        <f aca="false">AM150/SUM($AL150:$AQ150)</f>
        <v>0.091543832428239</v>
      </c>
      <c r="BC150" s="64" t="n">
        <f aca="false">AN150/SUM($AL150:$AQ150)</f>
        <v>0.47044220325834</v>
      </c>
      <c r="BD150" s="64" t="n">
        <f aca="false">AO150/SUM($AL150:$AQ150)</f>
        <v>0.19922420480993</v>
      </c>
      <c r="BE150" s="64" t="n">
        <f aca="false">AP150/SUM($AL150:$AQ150)</f>
        <v>0.120248254460822</v>
      </c>
      <c r="BF150" s="64" t="n">
        <f aca="false">AQ150/SUM($AL150:$AQ150)</f>
        <v>0</v>
      </c>
      <c r="BG150" s="65" t="e">
        <f aca="false">#N/A</f>
        <v>#N/A</v>
      </c>
      <c r="BH150" s="37" t="s">
        <v>393</v>
      </c>
      <c r="BI150" s="37" t="s">
        <v>564</v>
      </c>
      <c r="BJ150" s="37" t="s">
        <v>791</v>
      </c>
      <c r="BK150" s="40" t="s">
        <v>4</v>
      </c>
      <c r="BL150" s="40" t="s">
        <v>4</v>
      </c>
      <c r="BM150" s="37" t="s">
        <v>397</v>
      </c>
      <c r="BN150" s="37" t="s">
        <v>397</v>
      </c>
      <c r="BO150" s="37" t="s">
        <v>595</v>
      </c>
      <c r="BP150" s="37" t="s">
        <v>397</v>
      </c>
      <c r="BQ150" s="37" t="s">
        <v>399</v>
      </c>
      <c r="BR150" s="37"/>
      <c r="BS150" s="37"/>
      <c r="BT150" s="37" t="s">
        <v>294</v>
      </c>
      <c r="BU150" s="37" t="s">
        <v>792</v>
      </c>
      <c r="BV150" s="72" t="s">
        <v>295</v>
      </c>
      <c r="BW150" s="37" t="s">
        <v>402</v>
      </c>
    </row>
    <row r="151" customFormat="false" ht="14.9" hidden="false" customHeight="false" outlineLevel="0" collapsed="false">
      <c r="A151" s="37" t="s">
        <v>836</v>
      </c>
      <c r="B151" s="62" t="s">
        <v>287</v>
      </c>
      <c r="C151" s="37" t="s">
        <v>782</v>
      </c>
      <c r="D151" s="37" t="n">
        <f aca="false">INDEX(Strain_IDs!C:C,MATCH(Table1[[#This Row],[Strains]],Strain_IDs!D:D,0))</f>
        <v>24</v>
      </c>
      <c r="E151" s="37" t="s">
        <v>783</v>
      </c>
      <c r="F151" s="37" t="s">
        <v>30</v>
      </c>
      <c r="G151" s="37" t="s">
        <v>31</v>
      </c>
      <c r="H151" s="37" t="s">
        <v>784</v>
      </c>
      <c r="I151" s="37" t="s">
        <v>785</v>
      </c>
      <c r="J151" s="37"/>
      <c r="K151" s="37" t="s">
        <v>786</v>
      </c>
      <c r="L151" s="37" t="s">
        <v>30</v>
      </c>
      <c r="M151" s="37" t="s">
        <v>31</v>
      </c>
      <c r="N151" s="37" t="s">
        <v>29</v>
      </c>
      <c r="O151" s="37" t="s">
        <v>785</v>
      </c>
      <c r="P151" s="37"/>
      <c r="Q151" s="37" t="s">
        <v>787</v>
      </c>
      <c r="R151" s="37" t="s">
        <v>290</v>
      </c>
      <c r="S151" s="37" t="s">
        <v>290</v>
      </c>
      <c r="T151" s="37" t="s">
        <v>387</v>
      </c>
      <c r="U151" s="37"/>
      <c r="V151" s="37"/>
      <c r="W151" s="37" t="s">
        <v>837</v>
      </c>
      <c r="X151" s="37" t="n">
        <v>58</v>
      </c>
      <c r="Y151" s="37"/>
      <c r="Z151" s="37" t="n">
        <v>0.7</v>
      </c>
      <c r="AB151" s="37"/>
      <c r="AC151" s="37"/>
      <c r="AD151" s="37"/>
      <c r="AE151" s="37" t="s">
        <v>826</v>
      </c>
      <c r="AF151" s="37" t="s">
        <v>673</v>
      </c>
      <c r="AG151" s="62" t="s">
        <v>390</v>
      </c>
      <c r="AH151" s="63"/>
      <c r="AI151" s="62"/>
      <c r="AJ151" s="37" t="s">
        <v>790</v>
      </c>
      <c r="AK151" s="37" t="n">
        <f aca="false">SUM(Table1[[#This Row],[reported_1302]:[reported_1286_iso]])</f>
        <v>100</v>
      </c>
      <c r="AL151" s="64" t="n">
        <v>30.93</v>
      </c>
      <c r="AM151" s="64" t="n">
        <v>10.72</v>
      </c>
      <c r="AN151" s="64" t="n">
        <v>36.11</v>
      </c>
      <c r="AO151" s="64" t="n">
        <v>8.96</v>
      </c>
      <c r="AP151" s="64" t="n">
        <v>1.97</v>
      </c>
      <c r="AQ151" s="64"/>
      <c r="AR151" s="64" t="n">
        <v>11.16</v>
      </c>
      <c r="AS151" s="64" t="n">
        <v>0.13</v>
      </c>
      <c r="AT151" s="64" t="n">
        <v>0.01</v>
      </c>
      <c r="AU151" s="64" t="n">
        <v>0.01</v>
      </c>
      <c r="AV151" s="64"/>
      <c r="AW151" s="64"/>
      <c r="AX151" s="64"/>
      <c r="AY151" s="64"/>
      <c r="AZ151" s="64"/>
      <c r="BA151" s="64" t="n">
        <f aca="false">AL151/SUM($AL151:$AQ151)</f>
        <v>0.348742812041944</v>
      </c>
      <c r="BB151" s="64" t="n">
        <f aca="false">AM151/SUM($AL151:$AQ151)</f>
        <v>0.120870447626564</v>
      </c>
      <c r="BC151" s="64" t="n">
        <f aca="false">AN151/SUM($AL151:$AQ151)</f>
        <v>0.407148494757019</v>
      </c>
      <c r="BD151" s="64" t="n">
        <f aca="false">AO151/SUM($AL151:$AQ151)</f>
        <v>0.101026045777427</v>
      </c>
      <c r="BE151" s="64" t="n">
        <f aca="false">AP151/SUM($AL151:$AQ151)</f>
        <v>0.0222121997970459</v>
      </c>
      <c r="BF151" s="64" t="n">
        <f aca="false">AQ151/SUM($AL151:$AQ151)</f>
        <v>0</v>
      </c>
      <c r="BG151" s="65" t="e">
        <f aca="false">#N/A</f>
        <v>#N/A</v>
      </c>
      <c r="BH151" s="37" t="s">
        <v>393</v>
      </c>
      <c r="BI151" s="37" t="s">
        <v>564</v>
      </c>
      <c r="BJ151" s="37" t="s">
        <v>791</v>
      </c>
      <c r="BK151" s="40" t="s">
        <v>4</v>
      </c>
      <c r="BL151" s="40" t="s">
        <v>4</v>
      </c>
      <c r="BM151" s="37" t="s">
        <v>397</v>
      </c>
      <c r="BN151" s="37" t="s">
        <v>397</v>
      </c>
      <c r="BO151" s="37" t="s">
        <v>595</v>
      </c>
      <c r="BP151" s="37" t="s">
        <v>397</v>
      </c>
      <c r="BQ151" s="37" t="s">
        <v>399</v>
      </c>
      <c r="BR151" s="37"/>
      <c r="BS151" s="37"/>
      <c r="BT151" s="37" t="s">
        <v>294</v>
      </c>
      <c r="BU151" s="37" t="s">
        <v>792</v>
      </c>
      <c r="BV151" s="72" t="s">
        <v>295</v>
      </c>
      <c r="BW151" s="37" t="s">
        <v>402</v>
      </c>
    </row>
    <row r="152" customFormat="false" ht="14.9" hidden="false" customHeight="false" outlineLevel="0" collapsed="false">
      <c r="A152" s="37" t="s">
        <v>799</v>
      </c>
      <c r="B152" s="62" t="s">
        <v>287</v>
      </c>
      <c r="C152" s="37" t="s">
        <v>782</v>
      </c>
      <c r="D152" s="37" t="n">
        <f aca="false">INDEX(Strain_IDs!C:C,MATCH(Table1[[#This Row],[Strains]],Strain_IDs!D:D,0))</f>
        <v>24</v>
      </c>
      <c r="E152" s="37" t="s">
        <v>783</v>
      </c>
      <c r="F152" s="37" t="s">
        <v>30</v>
      </c>
      <c r="G152" s="37" t="s">
        <v>31</v>
      </c>
      <c r="H152" s="37" t="s">
        <v>784</v>
      </c>
      <c r="I152" s="37" t="s">
        <v>785</v>
      </c>
      <c r="J152" s="37"/>
      <c r="K152" s="37" t="s">
        <v>786</v>
      </c>
      <c r="L152" s="37" t="s">
        <v>30</v>
      </c>
      <c r="M152" s="37" t="s">
        <v>31</v>
      </c>
      <c r="N152" s="37" t="s">
        <v>29</v>
      </c>
      <c r="O152" s="37" t="s">
        <v>785</v>
      </c>
      <c r="P152" s="37"/>
      <c r="Q152" s="37" t="s">
        <v>787</v>
      </c>
      <c r="R152" s="37" t="s">
        <v>290</v>
      </c>
      <c r="S152" s="37" t="s">
        <v>290</v>
      </c>
      <c r="T152" s="37" t="s">
        <v>387</v>
      </c>
      <c r="U152" s="37"/>
      <c r="V152" s="37"/>
      <c r="W152" s="37" t="s">
        <v>838</v>
      </c>
      <c r="X152" s="37" t="n">
        <v>58</v>
      </c>
      <c r="Y152" s="37"/>
      <c r="Z152" s="37" t="n">
        <v>0.7</v>
      </c>
      <c r="AB152" s="37"/>
      <c r="AC152" s="37"/>
      <c r="AD152" s="37"/>
      <c r="AE152" s="37" t="s">
        <v>789</v>
      </c>
      <c r="AF152" s="37" t="s">
        <v>673</v>
      </c>
      <c r="AG152" s="62" t="s">
        <v>390</v>
      </c>
      <c r="AH152" s="63"/>
      <c r="AI152" s="62"/>
      <c r="AJ152" s="37" t="s">
        <v>790</v>
      </c>
      <c r="AK152" s="37" t="n">
        <f aca="false">SUM(Table1[[#This Row],[reported_1302]:[reported_1286_iso]])</f>
        <v>100.01</v>
      </c>
      <c r="AL152" s="64" t="n">
        <v>21.41</v>
      </c>
      <c r="AM152" s="64" t="n">
        <v>11.45</v>
      </c>
      <c r="AN152" s="64" t="n">
        <v>37.83</v>
      </c>
      <c r="AO152" s="64" t="n">
        <v>11.78</v>
      </c>
      <c r="AP152" s="64" t="n">
        <v>3.34</v>
      </c>
      <c r="AQ152" s="64"/>
      <c r="AR152" s="64" t="n">
        <v>13.83</v>
      </c>
      <c r="AS152" s="64" t="n">
        <v>0.32</v>
      </c>
      <c r="AT152" s="64" t="n">
        <v>0.04</v>
      </c>
      <c r="AU152" s="64" t="n">
        <v>0.01</v>
      </c>
      <c r="AV152" s="64"/>
      <c r="AW152" s="64"/>
      <c r="AX152" s="64"/>
      <c r="AY152" s="64"/>
      <c r="AZ152" s="64"/>
      <c r="BA152" s="64" t="n">
        <f aca="false">AL152/SUM($AL152:$AQ152)</f>
        <v>0.249504719729635</v>
      </c>
      <c r="BB152" s="64" t="n">
        <f aca="false">AM152/SUM($AL152:$AQ152)</f>
        <v>0.133434331662976</v>
      </c>
      <c r="BC152" s="64" t="n">
        <f aca="false">AN152/SUM($AL152:$AQ152)</f>
        <v>0.440857708891738</v>
      </c>
      <c r="BD152" s="64" t="n">
        <f aca="false">AO152/SUM($AL152:$AQ152)</f>
        <v>0.137280037291691</v>
      </c>
      <c r="BE152" s="64" t="n">
        <f aca="false">AP152/SUM($AL152:$AQ152)</f>
        <v>0.0389232024239599</v>
      </c>
      <c r="BF152" s="64" t="n">
        <f aca="false">AQ152/SUM($AL152:$AQ152)</f>
        <v>0</v>
      </c>
      <c r="BG152" s="65" t="e">
        <f aca="false">#N/A</f>
        <v>#N/A</v>
      </c>
      <c r="BH152" s="37" t="s">
        <v>393</v>
      </c>
      <c r="BI152" s="37" t="s">
        <v>564</v>
      </c>
      <c r="BJ152" s="37" t="s">
        <v>791</v>
      </c>
      <c r="BK152" s="40" t="s">
        <v>4</v>
      </c>
      <c r="BL152" s="40" t="s">
        <v>4</v>
      </c>
      <c r="BM152" s="37" t="s">
        <v>397</v>
      </c>
      <c r="BN152" s="37" t="s">
        <v>397</v>
      </c>
      <c r="BO152" s="37" t="s">
        <v>595</v>
      </c>
      <c r="BP152" s="37" t="s">
        <v>397</v>
      </c>
      <c r="BQ152" s="37" t="s">
        <v>399</v>
      </c>
      <c r="BR152" s="37"/>
      <c r="BS152" s="37"/>
      <c r="BT152" s="37" t="s">
        <v>294</v>
      </c>
      <c r="BU152" s="37" t="s">
        <v>792</v>
      </c>
      <c r="BV152" s="72" t="s">
        <v>295</v>
      </c>
      <c r="BW152" s="37" t="s">
        <v>402</v>
      </c>
    </row>
    <row r="153" customFormat="false" ht="14.9" hidden="false" customHeight="false" outlineLevel="0" collapsed="false">
      <c r="A153" s="37" t="s">
        <v>839</v>
      </c>
      <c r="B153" s="62" t="s">
        <v>287</v>
      </c>
      <c r="C153" s="37" t="s">
        <v>782</v>
      </c>
      <c r="D153" s="37" t="n">
        <f aca="false">INDEX(Strain_IDs!C:C,MATCH(Table1[[#This Row],[Strains]],Strain_IDs!D:D,0))</f>
        <v>24</v>
      </c>
      <c r="E153" s="37" t="s">
        <v>783</v>
      </c>
      <c r="F153" s="37" t="s">
        <v>30</v>
      </c>
      <c r="G153" s="37" t="s">
        <v>31</v>
      </c>
      <c r="H153" s="37" t="s">
        <v>784</v>
      </c>
      <c r="I153" s="37" t="s">
        <v>785</v>
      </c>
      <c r="J153" s="37"/>
      <c r="K153" s="37" t="s">
        <v>786</v>
      </c>
      <c r="L153" s="37" t="s">
        <v>30</v>
      </c>
      <c r="M153" s="37" t="s">
        <v>31</v>
      </c>
      <c r="N153" s="37" t="s">
        <v>29</v>
      </c>
      <c r="O153" s="37" t="s">
        <v>785</v>
      </c>
      <c r="P153" s="37"/>
      <c r="Q153" s="37" t="s">
        <v>787</v>
      </c>
      <c r="R153" s="37" t="s">
        <v>290</v>
      </c>
      <c r="S153" s="37" t="s">
        <v>290</v>
      </c>
      <c r="T153" s="37" t="s">
        <v>387</v>
      </c>
      <c r="U153" s="37"/>
      <c r="V153" s="37"/>
      <c r="W153" s="37" t="s">
        <v>840</v>
      </c>
      <c r="X153" s="37" t="n">
        <v>58</v>
      </c>
      <c r="Y153" s="37"/>
      <c r="Z153" s="37" t="n">
        <v>0.7</v>
      </c>
      <c r="AB153" s="37"/>
      <c r="AC153" s="37"/>
      <c r="AD153" s="37"/>
      <c r="AE153" s="37" t="s">
        <v>830</v>
      </c>
      <c r="AF153" s="37" t="s">
        <v>673</v>
      </c>
      <c r="AG153" s="62" t="s">
        <v>390</v>
      </c>
      <c r="AH153" s="63"/>
      <c r="AI153" s="62"/>
      <c r="AJ153" s="37" t="s">
        <v>790</v>
      </c>
      <c r="AK153" s="37" t="n">
        <f aca="false">SUM(Table1[[#This Row],[reported_1302]:[reported_1286_iso]])</f>
        <v>100.01</v>
      </c>
      <c r="AL153" s="64" t="n">
        <v>19.77</v>
      </c>
      <c r="AM153" s="64" t="n">
        <v>14.14</v>
      </c>
      <c r="AN153" s="64" t="n">
        <v>42.23</v>
      </c>
      <c r="AO153" s="64" t="n">
        <v>10.81</v>
      </c>
      <c r="AP153" s="64" t="n">
        <v>1.98</v>
      </c>
      <c r="AQ153" s="64"/>
      <c r="AR153" s="64" t="n">
        <v>10.88</v>
      </c>
      <c r="AS153" s="64" t="n">
        <v>0.17</v>
      </c>
      <c r="AT153" s="64" t="n">
        <v>0.02</v>
      </c>
      <c r="AU153" s="64" t="n">
        <v>0.01</v>
      </c>
      <c r="AV153" s="64"/>
      <c r="AW153" s="64"/>
      <c r="AX153" s="64"/>
      <c r="AY153" s="64"/>
      <c r="AZ153" s="64"/>
      <c r="BA153" s="64" t="n">
        <f aca="false">AL153/SUM($AL153:$AQ153)</f>
        <v>0.22230968177218</v>
      </c>
      <c r="BB153" s="64" t="n">
        <f aca="false">AM153/SUM($AL153:$AQ153)</f>
        <v>0.159001461823906</v>
      </c>
      <c r="BC153" s="64" t="n">
        <f aca="false">AN153/SUM($AL153:$AQ153)</f>
        <v>0.474867873608456</v>
      </c>
      <c r="BD153" s="64" t="n">
        <f aca="false">AO153/SUM($AL153:$AQ153)</f>
        <v>0.121556280220398</v>
      </c>
      <c r="BE153" s="64" t="n">
        <f aca="false">AP153/SUM($AL153:$AQ153)</f>
        <v>0.022264702575059</v>
      </c>
      <c r="BF153" s="64" t="n">
        <f aca="false">AQ153/SUM($AL153:$AQ153)</f>
        <v>0</v>
      </c>
      <c r="BG153" s="65" t="e">
        <f aca="false">#N/A</f>
        <v>#N/A</v>
      </c>
      <c r="BH153" s="37" t="s">
        <v>393</v>
      </c>
      <c r="BI153" s="37" t="s">
        <v>564</v>
      </c>
      <c r="BJ153" s="37" t="s">
        <v>791</v>
      </c>
      <c r="BK153" s="40" t="s">
        <v>4</v>
      </c>
      <c r="BL153" s="40" t="s">
        <v>4</v>
      </c>
      <c r="BM153" s="37" t="s">
        <v>397</v>
      </c>
      <c r="BN153" s="37" t="s">
        <v>397</v>
      </c>
      <c r="BO153" s="37" t="s">
        <v>595</v>
      </c>
      <c r="BP153" s="37" t="s">
        <v>397</v>
      </c>
      <c r="BQ153" s="37" t="s">
        <v>399</v>
      </c>
      <c r="BR153" s="37"/>
      <c r="BS153" s="37"/>
      <c r="BT153" s="37" t="s">
        <v>294</v>
      </c>
      <c r="BU153" s="37" t="s">
        <v>792</v>
      </c>
      <c r="BV153" s="72" t="s">
        <v>295</v>
      </c>
      <c r="BW153" s="37" t="s">
        <v>402</v>
      </c>
    </row>
    <row r="154" customFormat="false" ht="14.9" hidden="false" customHeight="false" outlineLevel="0" collapsed="false">
      <c r="A154" s="37" t="s">
        <v>841</v>
      </c>
      <c r="B154" s="62" t="s">
        <v>287</v>
      </c>
      <c r="C154" s="37" t="s">
        <v>782</v>
      </c>
      <c r="D154" s="37" t="n">
        <f aca="false">INDEX(Strain_IDs!C:C,MATCH(Table1[[#This Row],[Strains]],Strain_IDs!D:D,0))</f>
        <v>24</v>
      </c>
      <c r="E154" s="37" t="s">
        <v>783</v>
      </c>
      <c r="F154" s="37" t="s">
        <v>30</v>
      </c>
      <c r="G154" s="37" t="s">
        <v>31</v>
      </c>
      <c r="H154" s="37" t="s">
        <v>784</v>
      </c>
      <c r="I154" s="37" t="s">
        <v>785</v>
      </c>
      <c r="J154" s="37"/>
      <c r="K154" s="37" t="s">
        <v>786</v>
      </c>
      <c r="L154" s="37" t="s">
        <v>30</v>
      </c>
      <c r="M154" s="37" t="s">
        <v>31</v>
      </c>
      <c r="N154" s="37" t="s">
        <v>29</v>
      </c>
      <c r="O154" s="37" t="s">
        <v>785</v>
      </c>
      <c r="P154" s="37"/>
      <c r="Q154" s="37" t="s">
        <v>787</v>
      </c>
      <c r="R154" s="37" t="s">
        <v>290</v>
      </c>
      <c r="S154" s="37" t="s">
        <v>290</v>
      </c>
      <c r="T154" s="37" t="s">
        <v>387</v>
      </c>
      <c r="U154" s="37"/>
      <c r="V154" s="37"/>
      <c r="W154" s="37" t="s">
        <v>842</v>
      </c>
      <c r="X154" s="37" t="n">
        <v>58</v>
      </c>
      <c r="Y154" s="37"/>
      <c r="Z154" s="37" t="n">
        <v>0.7</v>
      </c>
      <c r="AB154" s="37"/>
      <c r="AC154" s="37"/>
      <c r="AD154" s="37"/>
      <c r="AE154" s="37" t="s">
        <v>833</v>
      </c>
      <c r="AF154" s="37" t="s">
        <v>673</v>
      </c>
      <c r="AG154" s="62" t="s">
        <v>390</v>
      </c>
      <c r="AH154" s="63"/>
      <c r="AI154" s="62"/>
      <c r="AJ154" s="37" t="s">
        <v>790</v>
      </c>
      <c r="AK154" s="37" t="n">
        <f aca="false">SUM(Table1[[#This Row],[reported_1302]:[reported_1286_iso]])</f>
        <v>100.02</v>
      </c>
      <c r="AL154" s="64" t="n">
        <v>7.39</v>
      </c>
      <c r="AM154" s="64" t="n">
        <v>9.73</v>
      </c>
      <c r="AN154" s="64" t="n">
        <v>38.42</v>
      </c>
      <c r="AO154" s="64" t="n">
        <v>16.08</v>
      </c>
      <c r="AP154" s="64" t="n">
        <v>5.58</v>
      </c>
      <c r="AQ154" s="64"/>
      <c r="AR154" s="64" t="n">
        <v>22.57</v>
      </c>
      <c r="AS154" s="64" t="n">
        <v>0.22</v>
      </c>
      <c r="AT154" s="64" t="n">
        <v>0.02</v>
      </c>
      <c r="AU154" s="64" t="n">
        <v>0.01</v>
      </c>
      <c r="AV154" s="64"/>
      <c r="AW154" s="64"/>
      <c r="AX154" s="64"/>
      <c r="AY154" s="64"/>
      <c r="AZ154" s="64"/>
      <c r="BA154" s="64" t="n">
        <f aca="false">AL154/SUM($AL154:$AQ154)</f>
        <v>0.0957253886010363</v>
      </c>
      <c r="BB154" s="64" t="n">
        <f aca="false">AM154/SUM($AL154:$AQ154)</f>
        <v>0.126036269430052</v>
      </c>
      <c r="BC154" s="64" t="n">
        <f aca="false">AN154/SUM($AL154:$AQ154)</f>
        <v>0.497668393782383</v>
      </c>
      <c r="BD154" s="64" t="n">
        <f aca="false">AO154/SUM($AL154:$AQ154)</f>
        <v>0.208290155440415</v>
      </c>
      <c r="BE154" s="64" t="n">
        <f aca="false">AP154/SUM($AL154:$AQ154)</f>
        <v>0.072279792746114</v>
      </c>
      <c r="BF154" s="64" t="n">
        <f aca="false">AQ154/SUM($AL154:$AQ154)</f>
        <v>0</v>
      </c>
      <c r="BG154" s="65" t="e">
        <f aca="false">#N/A</f>
        <v>#N/A</v>
      </c>
      <c r="BH154" s="37" t="s">
        <v>393</v>
      </c>
      <c r="BI154" s="37" t="s">
        <v>564</v>
      </c>
      <c r="BJ154" s="37" t="s">
        <v>791</v>
      </c>
      <c r="BK154" s="40" t="s">
        <v>4</v>
      </c>
      <c r="BL154" s="40" t="s">
        <v>4</v>
      </c>
      <c r="BM154" s="37" t="s">
        <v>397</v>
      </c>
      <c r="BN154" s="37" t="s">
        <v>397</v>
      </c>
      <c r="BO154" s="37" t="s">
        <v>595</v>
      </c>
      <c r="BP154" s="37" t="s">
        <v>397</v>
      </c>
      <c r="BQ154" s="37" t="s">
        <v>399</v>
      </c>
      <c r="BR154" s="37"/>
      <c r="BS154" s="37"/>
      <c r="BT154" s="37" t="s">
        <v>294</v>
      </c>
      <c r="BU154" s="37" t="s">
        <v>792</v>
      </c>
      <c r="BV154" s="72" t="s">
        <v>295</v>
      </c>
      <c r="BW154" s="37" t="s">
        <v>402</v>
      </c>
    </row>
    <row r="155" customFormat="false" ht="14.9" hidden="false" customHeight="false" outlineLevel="0" collapsed="false">
      <c r="A155" s="37" t="s">
        <v>843</v>
      </c>
      <c r="B155" s="62" t="s">
        <v>144</v>
      </c>
      <c r="C155" s="37" t="s">
        <v>143</v>
      </c>
      <c r="D155" s="37" t="n">
        <f aca="false">INDEX(Strain_IDs!C:C,MATCH(Table1[[#This Row],[Strains]],Strain_IDs!D:D,0))</f>
        <v>8</v>
      </c>
      <c r="E155" s="37" t="s">
        <v>382</v>
      </c>
      <c r="F155" s="37" t="s">
        <v>20</v>
      </c>
      <c r="G155" s="37" t="s">
        <v>21</v>
      </c>
      <c r="H155" s="37" t="s">
        <v>27</v>
      </c>
      <c r="I155" s="37" t="s">
        <v>455</v>
      </c>
      <c r="J155" s="37" t="s">
        <v>497</v>
      </c>
      <c r="K155" s="37" t="s">
        <v>384</v>
      </c>
      <c r="L155" s="37" t="s">
        <v>20</v>
      </c>
      <c r="M155" s="37" t="s">
        <v>385</v>
      </c>
      <c r="N155" s="37" t="s">
        <v>27</v>
      </c>
      <c r="O155" s="40" t="s">
        <v>455</v>
      </c>
      <c r="P155" s="37" t="s">
        <v>497</v>
      </c>
      <c r="Q155" s="37" t="s">
        <v>456</v>
      </c>
      <c r="R155" s="37" t="s">
        <v>62</v>
      </c>
      <c r="S155" s="37" t="s">
        <v>63</v>
      </c>
      <c r="T155" s="37" t="s">
        <v>387</v>
      </c>
      <c r="U155" s="37" t="s">
        <v>488</v>
      </c>
      <c r="V155" s="37" t="s">
        <v>489</v>
      </c>
      <c r="W155" s="37" t="s">
        <v>844</v>
      </c>
      <c r="X155" s="37" t="n">
        <v>25</v>
      </c>
      <c r="Y155" s="37"/>
      <c r="Z155" s="37"/>
      <c r="AB155" s="37"/>
      <c r="AC155" s="37"/>
      <c r="AD155" s="37"/>
      <c r="AE155" s="37" t="s">
        <v>845</v>
      </c>
      <c r="AF155" s="37" t="s">
        <v>389</v>
      </c>
      <c r="AG155" s="62" t="s">
        <v>446</v>
      </c>
      <c r="AH155" s="63" t="s">
        <v>846</v>
      </c>
      <c r="AI155" s="62"/>
      <c r="AJ155" s="37" t="s">
        <v>847</v>
      </c>
      <c r="AK155" s="37" t="n">
        <f aca="false">SUM(Table1[[#This Row],[reported_1302]:[reported_1286_iso]])</f>
        <v>98.6</v>
      </c>
      <c r="AL155" s="64" t="n">
        <v>44.6</v>
      </c>
      <c r="AM155" s="64" t="n">
        <v>20.1</v>
      </c>
      <c r="AN155" s="64" t="n">
        <v>7.8</v>
      </c>
      <c r="AO155" s="64" t="n">
        <v>2.4</v>
      </c>
      <c r="AP155" s="64" t="n">
        <v>21.3</v>
      </c>
      <c r="AQ155" s="64" t="n">
        <v>0.1</v>
      </c>
      <c r="AR155" s="64" t="n">
        <v>2.3</v>
      </c>
      <c r="AS155" s="64"/>
      <c r="AT155" s="64"/>
      <c r="AU155" s="64"/>
      <c r="AV155" s="64"/>
      <c r="AW155" s="64"/>
      <c r="AX155" s="64"/>
      <c r="AY155" s="64"/>
      <c r="AZ155" s="64"/>
      <c r="BA155" s="64" t="n">
        <f aca="false">AL155/SUM($AL155:$AQ155)</f>
        <v>0.463136033229491</v>
      </c>
      <c r="BB155" s="64" t="n">
        <f aca="false">AM155/SUM($AL155:$AQ155)</f>
        <v>0.208722741433022</v>
      </c>
      <c r="BC155" s="64" t="n">
        <f aca="false">AN155/SUM($AL155:$AQ155)</f>
        <v>0.0809968847352025</v>
      </c>
      <c r="BD155" s="64" t="n">
        <f aca="false">AO155/SUM($AL155:$AQ155)</f>
        <v>0.0249221183800623</v>
      </c>
      <c r="BE155" s="64" t="n">
        <f aca="false">AP155/SUM($AL155:$AQ155)</f>
        <v>0.221183800623053</v>
      </c>
      <c r="BF155" s="64" t="n">
        <f aca="false">AQ155/SUM($AL155:$AQ155)</f>
        <v>0.00103842159916926</v>
      </c>
      <c r="BG155" s="65" t="e">
        <f aca="false">#N/A</f>
        <v>#N/A</v>
      </c>
      <c r="BH155" s="37" t="s">
        <v>393</v>
      </c>
      <c r="BI155" s="37" t="s">
        <v>463</v>
      </c>
      <c r="BJ155" s="37" t="s">
        <v>848</v>
      </c>
      <c r="BK155" s="40" t="s">
        <v>4</v>
      </c>
      <c r="BL155" s="37" t="s">
        <v>849</v>
      </c>
      <c r="BM155" s="37" t="s">
        <v>397</v>
      </c>
      <c r="BN155" s="37" t="s">
        <v>397</v>
      </c>
      <c r="BO155" s="37" t="s">
        <v>595</v>
      </c>
      <c r="BP155" s="37" t="s">
        <v>397</v>
      </c>
      <c r="BQ155" s="37" t="s">
        <v>397</v>
      </c>
      <c r="BR155" s="37" t="s">
        <v>405</v>
      </c>
      <c r="BS155" s="37" t="s">
        <v>405</v>
      </c>
      <c r="BT155" s="37" t="s">
        <v>850</v>
      </c>
      <c r="BU155" s="37" t="s">
        <v>851</v>
      </c>
      <c r="BV155" s="37" t="s">
        <v>852</v>
      </c>
      <c r="BW155" s="37" t="s">
        <v>402</v>
      </c>
    </row>
    <row r="156" customFormat="false" ht="14.9" hidden="false" customHeight="false" outlineLevel="0" collapsed="false">
      <c r="A156" s="37" t="s">
        <v>853</v>
      </c>
      <c r="B156" s="62" t="s">
        <v>144</v>
      </c>
      <c r="C156" s="37" t="s">
        <v>143</v>
      </c>
      <c r="D156" s="37" t="n">
        <f aca="false">INDEX(Strain_IDs!C:C,MATCH(Table1[[#This Row],[Strains]],Strain_IDs!D:D,0))</f>
        <v>8</v>
      </c>
      <c r="E156" s="37" t="s">
        <v>382</v>
      </c>
      <c r="F156" s="37" t="s">
        <v>20</v>
      </c>
      <c r="G156" s="37" t="s">
        <v>21</v>
      </c>
      <c r="H156" s="37" t="s">
        <v>27</v>
      </c>
      <c r="I156" s="37" t="s">
        <v>455</v>
      </c>
      <c r="J156" s="37" t="s">
        <v>497</v>
      </c>
      <c r="K156" s="37" t="s">
        <v>384</v>
      </c>
      <c r="L156" s="37" t="s">
        <v>20</v>
      </c>
      <c r="M156" s="37" t="s">
        <v>385</v>
      </c>
      <c r="N156" s="37" t="s">
        <v>27</v>
      </c>
      <c r="O156" s="40" t="s">
        <v>455</v>
      </c>
      <c r="P156" s="37" t="s">
        <v>497</v>
      </c>
      <c r="Q156" s="37" t="s">
        <v>456</v>
      </c>
      <c r="R156" s="37" t="s">
        <v>62</v>
      </c>
      <c r="S156" s="37" t="s">
        <v>63</v>
      </c>
      <c r="T156" s="37" t="s">
        <v>387</v>
      </c>
      <c r="U156" s="37" t="s">
        <v>488</v>
      </c>
      <c r="V156" s="37" t="s">
        <v>489</v>
      </c>
      <c r="W156" s="37" t="s">
        <v>854</v>
      </c>
      <c r="X156" s="37" t="n">
        <v>30</v>
      </c>
      <c r="Y156" s="37"/>
      <c r="Z156" s="37"/>
      <c r="AB156" s="37"/>
      <c r="AC156" s="37"/>
      <c r="AD156" s="37"/>
      <c r="AE156" s="37" t="s">
        <v>845</v>
      </c>
      <c r="AF156" s="37" t="s">
        <v>389</v>
      </c>
      <c r="AG156" s="62" t="s">
        <v>446</v>
      </c>
      <c r="AH156" s="63" t="s">
        <v>846</v>
      </c>
      <c r="AI156" s="62"/>
      <c r="AJ156" s="37" t="s">
        <v>847</v>
      </c>
      <c r="AK156" s="37" t="n">
        <f aca="false">SUM(Table1[[#This Row],[reported_1302]:[reported_1286_iso]])</f>
        <v>98.8</v>
      </c>
      <c r="AL156" s="64" t="n">
        <v>34.3</v>
      </c>
      <c r="AM156" s="64" t="n">
        <v>19.2</v>
      </c>
      <c r="AN156" s="64" t="n">
        <v>10.4</v>
      </c>
      <c r="AO156" s="64" t="n">
        <v>2.9</v>
      </c>
      <c r="AP156" s="64" t="n">
        <v>26.1</v>
      </c>
      <c r="AQ156" s="64" t="n">
        <v>0.1</v>
      </c>
      <c r="AR156" s="64" t="n">
        <v>5.8</v>
      </c>
      <c r="AS156" s="64"/>
      <c r="AT156" s="64"/>
      <c r="AU156" s="64"/>
      <c r="AV156" s="64"/>
      <c r="AW156" s="64"/>
      <c r="AX156" s="64"/>
      <c r="AY156" s="64"/>
      <c r="AZ156" s="64"/>
      <c r="BA156" s="64" t="n">
        <f aca="false">AL156/SUM($AL156:$AQ156)</f>
        <v>0.368817204301075</v>
      </c>
      <c r="BB156" s="64" t="n">
        <f aca="false">AM156/SUM($AL156:$AQ156)</f>
        <v>0.206451612903226</v>
      </c>
      <c r="BC156" s="64" t="n">
        <f aca="false">AN156/SUM($AL156:$AQ156)</f>
        <v>0.111827956989247</v>
      </c>
      <c r="BD156" s="64" t="n">
        <f aca="false">AO156/SUM($AL156:$AQ156)</f>
        <v>0.0311827956989247</v>
      </c>
      <c r="BE156" s="64" t="n">
        <f aca="false">AP156/SUM($AL156:$AQ156)</f>
        <v>0.280645161290323</v>
      </c>
      <c r="BF156" s="64" t="n">
        <f aca="false">AQ156/SUM($AL156:$AQ156)</f>
        <v>0.0010752688172043</v>
      </c>
      <c r="BG156" s="65" t="e">
        <f aca="false">#N/A</f>
        <v>#N/A</v>
      </c>
      <c r="BH156" s="37" t="s">
        <v>393</v>
      </c>
      <c r="BI156" s="37" t="s">
        <v>463</v>
      </c>
      <c r="BJ156" s="37" t="s">
        <v>848</v>
      </c>
      <c r="BK156" s="40" t="s">
        <v>4</v>
      </c>
      <c r="BL156" s="37" t="s">
        <v>849</v>
      </c>
      <c r="BM156" s="37" t="s">
        <v>397</v>
      </c>
      <c r="BN156" s="37" t="s">
        <v>397</v>
      </c>
      <c r="BO156" s="37" t="s">
        <v>595</v>
      </c>
      <c r="BP156" s="37" t="s">
        <v>397</v>
      </c>
      <c r="BQ156" s="37" t="s">
        <v>397</v>
      </c>
      <c r="BR156" s="37" t="s">
        <v>405</v>
      </c>
      <c r="BS156" s="37" t="s">
        <v>405</v>
      </c>
      <c r="BT156" s="37" t="s">
        <v>850</v>
      </c>
      <c r="BU156" s="37" t="s">
        <v>851</v>
      </c>
      <c r="BV156" s="37" t="s">
        <v>852</v>
      </c>
      <c r="BW156" s="37" t="s">
        <v>402</v>
      </c>
    </row>
    <row r="157" customFormat="false" ht="14.9" hidden="false" customHeight="false" outlineLevel="0" collapsed="false">
      <c r="A157" s="37" t="s">
        <v>855</v>
      </c>
      <c r="B157" s="62" t="s">
        <v>144</v>
      </c>
      <c r="C157" s="37" t="s">
        <v>143</v>
      </c>
      <c r="D157" s="37" t="n">
        <f aca="false">INDEX(Strain_IDs!C:C,MATCH(Table1[[#This Row],[Strains]],Strain_IDs!D:D,0))</f>
        <v>8</v>
      </c>
      <c r="E157" s="37" t="s">
        <v>382</v>
      </c>
      <c r="F157" s="37" t="s">
        <v>20</v>
      </c>
      <c r="G157" s="37" t="s">
        <v>21</v>
      </c>
      <c r="H157" s="37" t="s">
        <v>27</v>
      </c>
      <c r="I157" s="37" t="s">
        <v>455</v>
      </c>
      <c r="J157" s="37" t="s">
        <v>497</v>
      </c>
      <c r="K157" s="37" t="s">
        <v>384</v>
      </c>
      <c r="L157" s="37" t="s">
        <v>20</v>
      </c>
      <c r="M157" s="37" t="s">
        <v>385</v>
      </c>
      <c r="N157" s="37" t="s">
        <v>27</v>
      </c>
      <c r="O157" s="40" t="s">
        <v>455</v>
      </c>
      <c r="P157" s="37" t="s">
        <v>497</v>
      </c>
      <c r="Q157" s="37" t="s">
        <v>456</v>
      </c>
      <c r="R157" s="37" t="s">
        <v>62</v>
      </c>
      <c r="S157" s="37" t="s">
        <v>63</v>
      </c>
      <c r="T157" s="37" t="s">
        <v>387</v>
      </c>
      <c r="U157" s="37" t="s">
        <v>488</v>
      </c>
      <c r="V157" s="37" t="s">
        <v>489</v>
      </c>
      <c r="W157" s="37" t="s">
        <v>856</v>
      </c>
      <c r="X157" s="37" t="n">
        <v>35</v>
      </c>
      <c r="Y157" s="37"/>
      <c r="Z157" s="37"/>
      <c r="AB157" s="37"/>
      <c r="AC157" s="37"/>
      <c r="AD157" s="37"/>
      <c r="AE157" s="37" t="s">
        <v>845</v>
      </c>
      <c r="AF157" s="37" t="s">
        <v>389</v>
      </c>
      <c r="AG157" s="62" t="s">
        <v>446</v>
      </c>
      <c r="AH157" s="63" t="s">
        <v>846</v>
      </c>
      <c r="AI157" s="62"/>
      <c r="AJ157" s="37" t="s">
        <v>847</v>
      </c>
      <c r="AK157" s="37" t="n">
        <f aca="false">SUM(Table1[[#This Row],[reported_1302]:[reported_1286_iso]])</f>
        <v>96.4</v>
      </c>
      <c r="AL157" s="64" t="n">
        <v>22.2</v>
      </c>
      <c r="AM157" s="64" t="n">
        <v>13</v>
      </c>
      <c r="AN157" s="64" t="n">
        <v>10.1</v>
      </c>
      <c r="AO157" s="64" t="n">
        <v>3.3</v>
      </c>
      <c r="AP157" s="64" t="n">
        <v>35.4</v>
      </c>
      <c r="AQ157" s="64" t="n">
        <v>0.3</v>
      </c>
      <c r="AR157" s="64" t="n">
        <v>12.1</v>
      </c>
      <c r="AS157" s="64"/>
      <c r="AT157" s="64"/>
      <c r="AU157" s="64"/>
      <c r="AV157" s="64"/>
      <c r="AW157" s="64"/>
      <c r="AX157" s="64"/>
      <c r="AY157" s="64"/>
      <c r="AZ157" s="64"/>
      <c r="BA157" s="64" t="n">
        <f aca="false">AL157/SUM($AL157:$AQ157)</f>
        <v>0.263345195729537</v>
      </c>
      <c r="BB157" s="64" t="n">
        <f aca="false">AM157/SUM($AL157:$AQ157)</f>
        <v>0.154211150652432</v>
      </c>
      <c r="BC157" s="64" t="n">
        <f aca="false">AN157/SUM($AL157:$AQ157)</f>
        <v>0.119810201660735</v>
      </c>
      <c r="BD157" s="64" t="n">
        <f aca="false">AO157/SUM($AL157:$AQ157)</f>
        <v>0.0391459074733096</v>
      </c>
      <c r="BE157" s="64" t="n">
        <f aca="false">AP157/SUM($AL157:$AQ157)</f>
        <v>0.419928825622776</v>
      </c>
      <c r="BF157" s="64" t="n">
        <f aca="false">AQ157/SUM($AL157:$AQ157)</f>
        <v>0.00355871886120996</v>
      </c>
      <c r="BG157" s="65" t="e">
        <f aca="false">#N/A</f>
        <v>#N/A</v>
      </c>
      <c r="BH157" s="37" t="s">
        <v>393</v>
      </c>
      <c r="BI157" s="37" t="s">
        <v>463</v>
      </c>
      <c r="BJ157" s="37" t="s">
        <v>848</v>
      </c>
      <c r="BK157" s="40" t="s">
        <v>4</v>
      </c>
      <c r="BL157" s="37" t="s">
        <v>849</v>
      </c>
      <c r="BM157" s="37" t="s">
        <v>397</v>
      </c>
      <c r="BN157" s="37" t="s">
        <v>397</v>
      </c>
      <c r="BO157" s="37" t="s">
        <v>595</v>
      </c>
      <c r="BP157" s="37" t="s">
        <v>397</v>
      </c>
      <c r="BQ157" s="37" t="s">
        <v>397</v>
      </c>
      <c r="BR157" s="37" t="s">
        <v>405</v>
      </c>
      <c r="BS157" s="37" t="s">
        <v>405</v>
      </c>
      <c r="BT157" s="37" t="s">
        <v>850</v>
      </c>
      <c r="BU157" s="37" t="s">
        <v>851</v>
      </c>
      <c r="BV157" s="37" t="s">
        <v>852</v>
      </c>
      <c r="BW157" s="37" t="s">
        <v>402</v>
      </c>
    </row>
    <row r="158" customFormat="false" ht="14.9" hidden="false" customHeight="false" outlineLevel="0" collapsed="false">
      <c r="A158" s="37" t="s">
        <v>857</v>
      </c>
      <c r="B158" s="62" t="s">
        <v>144</v>
      </c>
      <c r="C158" s="37" t="s">
        <v>143</v>
      </c>
      <c r="D158" s="37" t="n">
        <f aca="false">INDEX(Strain_IDs!C:C,MATCH(Table1[[#This Row],[Strains]],Strain_IDs!D:D,0))</f>
        <v>8</v>
      </c>
      <c r="E158" s="37" t="s">
        <v>382</v>
      </c>
      <c r="F158" s="37" t="s">
        <v>20</v>
      </c>
      <c r="G158" s="37" t="s">
        <v>21</v>
      </c>
      <c r="H158" s="37" t="s">
        <v>27</v>
      </c>
      <c r="I158" s="37" t="s">
        <v>455</v>
      </c>
      <c r="J158" s="37" t="s">
        <v>497</v>
      </c>
      <c r="K158" s="37" t="s">
        <v>384</v>
      </c>
      <c r="L158" s="37" t="s">
        <v>20</v>
      </c>
      <c r="M158" s="37" t="s">
        <v>385</v>
      </c>
      <c r="N158" s="37" t="s">
        <v>27</v>
      </c>
      <c r="O158" s="37" t="s">
        <v>455</v>
      </c>
      <c r="P158" s="37" t="s">
        <v>497</v>
      </c>
      <c r="Q158" s="37" t="s">
        <v>456</v>
      </c>
      <c r="R158" s="37" t="s">
        <v>62</v>
      </c>
      <c r="S158" s="37" t="s">
        <v>63</v>
      </c>
      <c r="T158" s="37" t="s">
        <v>387</v>
      </c>
      <c r="U158" s="37" t="s">
        <v>488</v>
      </c>
      <c r="V158" s="37" t="s">
        <v>489</v>
      </c>
      <c r="W158" s="37" t="s">
        <v>858</v>
      </c>
      <c r="X158" s="37" t="n">
        <v>25</v>
      </c>
      <c r="Y158" s="37"/>
      <c r="Z158" s="37"/>
      <c r="AB158" s="37"/>
      <c r="AC158" s="37"/>
      <c r="AD158" s="37"/>
      <c r="AE158" s="37" t="s">
        <v>522</v>
      </c>
      <c r="AF158" s="37" t="s">
        <v>389</v>
      </c>
      <c r="AG158" s="62" t="s">
        <v>446</v>
      </c>
      <c r="AH158" s="63" t="s">
        <v>846</v>
      </c>
      <c r="AI158" s="62"/>
      <c r="AJ158" s="37" t="s">
        <v>847</v>
      </c>
      <c r="AK158" s="37" t="n">
        <f aca="false">SUM(Table1[[#This Row],[reported_1302]:[reported_1286_iso]])</f>
        <v>98.1</v>
      </c>
      <c r="AL158" s="64" t="n">
        <v>38.8</v>
      </c>
      <c r="AM158" s="64" t="n">
        <v>23.1</v>
      </c>
      <c r="AN158" s="64" t="n">
        <v>11.2</v>
      </c>
      <c r="AO158" s="64" t="n">
        <v>3.2</v>
      </c>
      <c r="AP158" s="64" t="n">
        <v>18.8</v>
      </c>
      <c r="AQ158" s="64" t="n">
        <v>0.2</v>
      </c>
      <c r="AR158" s="64" t="n">
        <v>2.8</v>
      </c>
      <c r="AS158" s="64"/>
      <c r="AT158" s="64"/>
      <c r="AU158" s="64"/>
      <c r="AV158" s="64"/>
      <c r="AW158" s="64"/>
      <c r="AX158" s="64"/>
      <c r="AY158" s="64"/>
      <c r="AZ158" s="64"/>
      <c r="BA158" s="64" t="n">
        <f aca="false">AL158/SUM($AL158:$AQ158)</f>
        <v>0.40713536201469</v>
      </c>
      <c r="BB158" s="64" t="n">
        <f aca="false">AM158/SUM($AL158:$AQ158)</f>
        <v>0.242392444910808</v>
      </c>
      <c r="BC158" s="64" t="n">
        <f aca="false">AN158/SUM($AL158:$AQ158)</f>
        <v>0.117523609653725</v>
      </c>
      <c r="BD158" s="64" t="n">
        <f aca="false">AO158/SUM($AL158:$AQ158)</f>
        <v>0.0335781741867786</v>
      </c>
      <c r="BE158" s="64" t="n">
        <f aca="false">AP158/SUM($AL158:$AQ158)</f>
        <v>0.197271773347324</v>
      </c>
      <c r="BF158" s="64" t="n">
        <f aca="false">AQ158/SUM($AL158:$AQ158)</f>
        <v>0.00209863588667366</v>
      </c>
      <c r="BG158" s="65" t="e">
        <f aca="false">#N/A</f>
        <v>#N/A</v>
      </c>
      <c r="BH158" s="37" t="s">
        <v>393</v>
      </c>
      <c r="BI158" s="37" t="s">
        <v>463</v>
      </c>
      <c r="BJ158" s="37" t="s">
        <v>848</v>
      </c>
      <c r="BK158" s="40" t="s">
        <v>4</v>
      </c>
      <c r="BL158" s="37" t="s">
        <v>849</v>
      </c>
      <c r="BM158" s="37" t="s">
        <v>397</v>
      </c>
      <c r="BN158" s="37" t="s">
        <v>397</v>
      </c>
      <c r="BO158" s="37" t="s">
        <v>595</v>
      </c>
      <c r="BP158" s="37" t="s">
        <v>397</v>
      </c>
      <c r="BQ158" s="37" t="s">
        <v>397</v>
      </c>
      <c r="BR158" s="37" t="s">
        <v>405</v>
      </c>
      <c r="BS158" s="37" t="s">
        <v>405</v>
      </c>
      <c r="BT158" s="37" t="s">
        <v>850</v>
      </c>
      <c r="BU158" s="37" t="s">
        <v>851</v>
      </c>
      <c r="BV158" s="37" t="s">
        <v>852</v>
      </c>
      <c r="BW158" s="37" t="s">
        <v>402</v>
      </c>
    </row>
    <row r="159" customFormat="false" ht="14.9" hidden="false" customHeight="false" outlineLevel="0" collapsed="false">
      <c r="A159" s="37" t="s">
        <v>859</v>
      </c>
      <c r="B159" s="62" t="s">
        <v>144</v>
      </c>
      <c r="C159" s="37" t="s">
        <v>143</v>
      </c>
      <c r="D159" s="37" t="n">
        <f aca="false">INDEX(Strain_IDs!C:C,MATCH(Table1[[#This Row],[Strains]],Strain_IDs!D:D,0))</f>
        <v>8</v>
      </c>
      <c r="E159" s="37" t="s">
        <v>382</v>
      </c>
      <c r="F159" s="37" t="s">
        <v>20</v>
      </c>
      <c r="G159" s="37" t="s">
        <v>21</v>
      </c>
      <c r="H159" s="37" t="s">
        <v>27</v>
      </c>
      <c r="I159" s="37" t="s">
        <v>455</v>
      </c>
      <c r="J159" s="37" t="s">
        <v>497</v>
      </c>
      <c r="K159" s="37" t="s">
        <v>384</v>
      </c>
      <c r="L159" s="37" t="s">
        <v>20</v>
      </c>
      <c r="M159" s="37" t="s">
        <v>385</v>
      </c>
      <c r="N159" s="37" t="s">
        <v>27</v>
      </c>
      <c r="O159" s="37" t="s">
        <v>455</v>
      </c>
      <c r="P159" s="37" t="s">
        <v>497</v>
      </c>
      <c r="Q159" s="37" t="s">
        <v>456</v>
      </c>
      <c r="R159" s="37" t="s">
        <v>62</v>
      </c>
      <c r="S159" s="37" t="s">
        <v>63</v>
      </c>
      <c r="T159" s="37" t="s">
        <v>387</v>
      </c>
      <c r="U159" s="37" t="s">
        <v>488</v>
      </c>
      <c r="V159" s="37" t="s">
        <v>489</v>
      </c>
      <c r="W159" s="37" t="s">
        <v>860</v>
      </c>
      <c r="X159" s="37" t="n">
        <v>30</v>
      </c>
      <c r="Y159" s="37"/>
      <c r="Z159" s="37"/>
      <c r="AB159" s="37"/>
      <c r="AC159" s="37"/>
      <c r="AD159" s="37"/>
      <c r="AE159" s="37" t="s">
        <v>522</v>
      </c>
      <c r="AF159" s="37" t="s">
        <v>389</v>
      </c>
      <c r="AG159" s="62" t="s">
        <v>446</v>
      </c>
      <c r="AH159" s="63" t="s">
        <v>846</v>
      </c>
      <c r="AI159" s="62"/>
      <c r="AJ159" s="37" t="s">
        <v>847</v>
      </c>
      <c r="AK159" s="37" t="n">
        <f aca="false">SUM(Table1[[#This Row],[reported_1302]:[reported_1286_iso]])</f>
        <v>98.8</v>
      </c>
      <c r="AL159" s="64" t="n">
        <v>31.3</v>
      </c>
      <c r="AM159" s="64" t="n">
        <v>20.1</v>
      </c>
      <c r="AN159" s="64" t="n">
        <v>13.2</v>
      </c>
      <c r="AO159" s="64" t="n">
        <v>3.2</v>
      </c>
      <c r="AP159" s="64" t="n">
        <v>23.2</v>
      </c>
      <c r="AQ159" s="64" t="n">
        <v>0.1</v>
      </c>
      <c r="AR159" s="64" t="n">
        <v>7.7</v>
      </c>
      <c r="AS159" s="64"/>
      <c r="AT159" s="64"/>
      <c r="AU159" s="64"/>
      <c r="AV159" s="64"/>
      <c r="AW159" s="64"/>
      <c r="AX159" s="64"/>
      <c r="AY159" s="64"/>
      <c r="AZ159" s="64"/>
      <c r="BA159" s="64" t="n">
        <f aca="false">AL159/SUM($AL159:$AQ159)</f>
        <v>0.34357848518112</v>
      </c>
      <c r="BB159" s="64" t="n">
        <f aca="false">AM159/SUM($AL159:$AQ159)</f>
        <v>0.220636663007684</v>
      </c>
      <c r="BC159" s="64" t="n">
        <f aca="false">AN159/SUM($AL159:$AQ159)</f>
        <v>0.144895718990121</v>
      </c>
      <c r="BD159" s="64" t="n">
        <f aca="false">AO159/SUM($AL159:$AQ159)</f>
        <v>0.0351262349066959</v>
      </c>
      <c r="BE159" s="64" t="n">
        <f aca="false">AP159/SUM($AL159:$AQ159)</f>
        <v>0.254665203073546</v>
      </c>
      <c r="BF159" s="64" t="n">
        <f aca="false">AQ159/SUM($AL159:$AQ159)</f>
        <v>0.00109769484083425</v>
      </c>
      <c r="BG159" s="65" t="e">
        <f aca="false">#N/A</f>
        <v>#N/A</v>
      </c>
      <c r="BH159" s="37" t="s">
        <v>393</v>
      </c>
      <c r="BI159" s="37" t="s">
        <v>463</v>
      </c>
      <c r="BJ159" s="37" t="s">
        <v>848</v>
      </c>
      <c r="BK159" s="40" t="s">
        <v>4</v>
      </c>
      <c r="BL159" s="37" t="s">
        <v>849</v>
      </c>
      <c r="BM159" s="37" t="s">
        <v>397</v>
      </c>
      <c r="BN159" s="37" t="s">
        <v>397</v>
      </c>
      <c r="BO159" s="37" t="s">
        <v>595</v>
      </c>
      <c r="BP159" s="37" t="s">
        <v>397</v>
      </c>
      <c r="BQ159" s="37" t="s">
        <v>397</v>
      </c>
      <c r="BR159" s="37" t="s">
        <v>405</v>
      </c>
      <c r="BS159" s="37" t="s">
        <v>405</v>
      </c>
      <c r="BT159" s="37" t="s">
        <v>850</v>
      </c>
      <c r="BU159" s="37" t="s">
        <v>851</v>
      </c>
      <c r="BV159" s="37" t="s">
        <v>852</v>
      </c>
      <c r="BW159" s="37" t="s">
        <v>402</v>
      </c>
    </row>
    <row r="160" customFormat="false" ht="14.9" hidden="false" customHeight="false" outlineLevel="0" collapsed="false">
      <c r="A160" s="37" t="s">
        <v>861</v>
      </c>
      <c r="B160" s="62" t="s">
        <v>144</v>
      </c>
      <c r="C160" s="37" t="s">
        <v>143</v>
      </c>
      <c r="D160" s="37" t="n">
        <f aca="false">INDEX(Strain_IDs!C:C,MATCH(Table1[[#This Row],[Strains]],Strain_IDs!D:D,0))</f>
        <v>8</v>
      </c>
      <c r="E160" s="37" t="s">
        <v>382</v>
      </c>
      <c r="F160" s="37" t="s">
        <v>20</v>
      </c>
      <c r="G160" s="37" t="s">
        <v>21</v>
      </c>
      <c r="H160" s="37" t="s">
        <v>27</v>
      </c>
      <c r="I160" s="37" t="s">
        <v>455</v>
      </c>
      <c r="J160" s="37" t="s">
        <v>497</v>
      </c>
      <c r="K160" s="37" t="s">
        <v>384</v>
      </c>
      <c r="L160" s="37" t="s">
        <v>20</v>
      </c>
      <c r="M160" s="37" t="s">
        <v>385</v>
      </c>
      <c r="N160" s="37" t="s">
        <v>27</v>
      </c>
      <c r="O160" s="37" t="s">
        <v>455</v>
      </c>
      <c r="P160" s="37" t="s">
        <v>497</v>
      </c>
      <c r="Q160" s="37" t="s">
        <v>456</v>
      </c>
      <c r="R160" s="37" t="s">
        <v>62</v>
      </c>
      <c r="S160" s="37" t="s">
        <v>63</v>
      </c>
      <c r="T160" s="37" t="s">
        <v>387</v>
      </c>
      <c r="U160" s="37" t="s">
        <v>488</v>
      </c>
      <c r="V160" s="37" t="s">
        <v>489</v>
      </c>
      <c r="W160" s="37" t="s">
        <v>862</v>
      </c>
      <c r="X160" s="37" t="n">
        <v>35</v>
      </c>
      <c r="Y160" s="37"/>
      <c r="Z160" s="37"/>
      <c r="AB160" s="37"/>
      <c r="AC160" s="37"/>
      <c r="AD160" s="37"/>
      <c r="AE160" s="37" t="s">
        <v>522</v>
      </c>
      <c r="AF160" s="37" t="s">
        <v>389</v>
      </c>
      <c r="AG160" s="62" t="s">
        <v>446</v>
      </c>
      <c r="AH160" s="63" t="s">
        <v>846</v>
      </c>
      <c r="AI160" s="62"/>
      <c r="AJ160" s="37" t="s">
        <v>847</v>
      </c>
      <c r="AK160" s="37" t="n">
        <f aca="false">SUM(Table1[[#This Row],[reported_1302]:[reported_1286_iso]])</f>
        <v>87.3</v>
      </c>
      <c r="AL160" s="64" t="n">
        <v>14.3</v>
      </c>
      <c r="AM160" s="64" t="n">
        <v>10.8</v>
      </c>
      <c r="AN160" s="64" t="n">
        <v>12.3</v>
      </c>
      <c r="AO160" s="64" t="n">
        <v>4.3</v>
      </c>
      <c r="AP160" s="64" t="n">
        <v>28.7</v>
      </c>
      <c r="AQ160" s="64" t="n">
        <v>0.6</v>
      </c>
      <c r="AR160" s="64" t="n">
        <v>16.3</v>
      </c>
      <c r="AS160" s="64"/>
      <c r="AT160" s="64"/>
      <c r="AU160" s="64"/>
      <c r="AV160" s="64"/>
      <c r="AW160" s="64"/>
      <c r="AX160" s="64"/>
      <c r="AY160" s="64"/>
      <c r="AZ160" s="64"/>
      <c r="BA160" s="64" t="n">
        <f aca="false">AL160/SUM($AL160:$AQ160)</f>
        <v>0.201408450704225</v>
      </c>
      <c r="BB160" s="64" t="n">
        <f aca="false">AM160/SUM($AL160:$AQ160)</f>
        <v>0.152112676056338</v>
      </c>
      <c r="BC160" s="64" t="n">
        <f aca="false">AN160/SUM($AL160:$AQ160)</f>
        <v>0.173239436619718</v>
      </c>
      <c r="BD160" s="64" t="n">
        <f aca="false">AO160/SUM($AL160:$AQ160)</f>
        <v>0.0605633802816901</v>
      </c>
      <c r="BE160" s="64" t="n">
        <f aca="false">AP160/SUM($AL160:$AQ160)</f>
        <v>0.404225352112676</v>
      </c>
      <c r="BF160" s="64" t="n">
        <f aca="false">AQ160/SUM($AL160:$AQ160)</f>
        <v>0.00845070422535211</v>
      </c>
      <c r="BG160" s="65" t="e">
        <f aca="false">#N/A</f>
        <v>#N/A</v>
      </c>
      <c r="BH160" s="37" t="s">
        <v>393</v>
      </c>
      <c r="BI160" s="37" t="s">
        <v>463</v>
      </c>
      <c r="BJ160" s="37" t="s">
        <v>848</v>
      </c>
      <c r="BK160" s="40" t="s">
        <v>4</v>
      </c>
      <c r="BL160" s="37" t="s">
        <v>849</v>
      </c>
      <c r="BM160" s="37" t="s">
        <v>397</v>
      </c>
      <c r="BN160" s="37" t="s">
        <v>397</v>
      </c>
      <c r="BO160" s="37" t="s">
        <v>595</v>
      </c>
      <c r="BP160" s="37" t="s">
        <v>397</v>
      </c>
      <c r="BQ160" s="37" t="s">
        <v>397</v>
      </c>
      <c r="BR160" s="37" t="s">
        <v>405</v>
      </c>
      <c r="BS160" s="37" t="s">
        <v>405</v>
      </c>
      <c r="BT160" s="37" t="s">
        <v>850</v>
      </c>
      <c r="BU160" s="37" t="s">
        <v>851</v>
      </c>
      <c r="BV160" s="37" t="s">
        <v>852</v>
      </c>
      <c r="BW160" s="37" t="s">
        <v>402</v>
      </c>
    </row>
    <row r="161" customFormat="false" ht="14.9" hidden="false" customHeight="false" outlineLevel="0" collapsed="false">
      <c r="A161" s="37" t="s">
        <v>863</v>
      </c>
      <c r="B161" s="62" t="s">
        <v>96</v>
      </c>
      <c r="C161" s="37" t="s">
        <v>95</v>
      </c>
      <c r="D161" s="37" t="n">
        <f aca="false">INDEX(Strain_IDs!C:C,MATCH(Table1[[#This Row],[Strains]],Strain_IDs!D:D,0))</f>
        <v>5</v>
      </c>
      <c r="E161" s="37" t="s">
        <v>382</v>
      </c>
      <c r="F161" s="37" t="s">
        <v>20</v>
      </c>
      <c r="G161" s="37" t="s">
        <v>21</v>
      </c>
      <c r="H161" s="37" t="s">
        <v>27</v>
      </c>
      <c r="I161" s="37" t="s">
        <v>455</v>
      </c>
      <c r="J161" s="37" t="s">
        <v>487</v>
      </c>
      <c r="K161" s="37" t="s">
        <v>384</v>
      </c>
      <c r="L161" s="37" t="s">
        <v>20</v>
      </c>
      <c r="M161" s="37" t="s">
        <v>385</v>
      </c>
      <c r="N161" s="37" t="s">
        <v>27</v>
      </c>
      <c r="O161" s="40" t="s">
        <v>455</v>
      </c>
      <c r="P161" s="37" t="s">
        <v>487</v>
      </c>
      <c r="Q161" s="37" t="s">
        <v>456</v>
      </c>
      <c r="R161" s="37" t="s">
        <v>62</v>
      </c>
      <c r="S161" s="37" t="s">
        <v>63</v>
      </c>
      <c r="T161" s="37" t="s">
        <v>387</v>
      </c>
      <c r="U161" s="37" t="s">
        <v>488</v>
      </c>
      <c r="V161" s="37" t="s">
        <v>489</v>
      </c>
      <c r="W161" s="37" t="s">
        <v>864</v>
      </c>
      <c r="X161" s="37" t="n">
        <v>20</v>
      </c>
      <c r="Y161" s="37"/>
      <c r="Z161" s="37"/>
      <c r="AB161" s="37"/>
      <c r="AC161" s="37"/>
      <c r="AD161" s="37"/>
      <c r="AE161" s="37" t="s">
        <v>845</v>
      </c>
      <c r="AF161" s="37" t="s">
        <v>389</v>
      </c>
      <c r="AG161" s="62" t="s">
        <v>446</v>
      </c>
      <c r="AH161" s="63" t="s">
        <v>846</v>
      </c>
      <c r="AI161" s="62"/>
      <c r="AJ161" s="37" t="s">
        <v>847</v>
      </c>
      <c r="AK161" s="37" t="n">
        <f aca="false">SUM(Table1[[#This Row],[reported_1302]:[reported_1286_iso]])</f>
        <v>70.5</v>
      </c>
      <c r="AL161" s="64" t="n">
        <v>31.8</v>
      </c>
      <c r="AM161" s="64" t="n">
        <v>14.2</v>
      </c>
      <c r="AN161" s="64" t="n">
        <v>13.2</v>
      </c>
      <c r="AO161" s="64" t="n">
        <v>2.9</v>
      </c>
      <c r="AP161" s="64" t="n">
        <v>6.7</v>
      </c>
      <c r="AQ161" s="64" t="n">
        <v>0.3</v>
      </c>
      <c r="AR161" s="64" t="n">
        <v>1.4</v>
      </c>
      <c r="AS161" s="64"/>
      <c r="AT161" s="64"/>
      <c r="AU161" s="64"/>
      <c r="AV161" s="64"/>
      <c r="AW161" s="64"/>
      <c r="AX161" s="64"/>
      <c r="AY161" s="64"/>
      <c r="AZ161" s="64"/>
      <c r="BA161" s="64" t="n">
        <f aca="false">AL161/SUM($AL161:$AQ161)</f>
        <v>0.460202604920405</v>
      </c>
      <c r="BB161" s="64" t="n">
        <f aca="false">AM161/SUM($AL161:$AQ161)</f>
        <v>0.205499276410999</v>
      </c>
      <c r="BC161" s="64" t="n">
        <f aca="false">AN161/SUM($AL161:$AQ161)</f>
        <v>0.191027496382055</v>
      </c>
      <c r="BD161" s="64" t="n">
        <f aca="false">AO161/SUM($AL161:$AQ161)</f>
        <v>0.0419681620839363</v>
      </c>
      <c r="BE161" s="64" t="n">
        <f aca="false">AP161/SUM($AL161:$AQ161)</f>
        <v>0.0969609261939219</v>
      </c>
      <c r="BF161" s="64" t="n">
        <f aca="false">AQ161/SUM($AL161:$AQ161)</f>
        <v>0.00434153400868307</v>
      </c>
      <c r="BG161" s="65" t="e">
        <f aca="false">#N/A</f>
        <v>#N/A</v>
      </c>
      <c r="BH161" s="37" t="s">
        <v>393</v>
      </c>
      <c r="BI161" s="37" t="s">
        <v>463</v>
      </c>
      <c r="BJ161" s="37" t="s">
        <v>848</v>
      </c>
      <c r="BK161" s="40" t="s">
        <v>4</v>
      </c>
      <c r="BL161" s="37" t="s">
        <v>849</v>
      </c>
      <c r="BM161" s="37" t="s">
        <v>397</v>
      </c>
      <c r="BN161" s="37" t="s">
        <v>397</v>
      </c>
      <c r="BO161" s="37" t="s">
        <v>595</v>
      </c>
      <c r="BP161" s="37" t="s">
        <v>397</v>
      </c>
      <c r="BQ161" s="37" t="s">
        <v>397</v>
      </c>
      <c r="BR161" s="37" t="s">
        <v>405</v>
      </c>
      <c r="BS161" s="37" t="s">
        <v>405</v>
      </c>
      <c r="BT161" s="37" t="s">
        <v>850</v>
      </c>
      <c r="BU161" s="37" t="s">
        <v>851</v>
      </c>
      <c r="BV161" s="37" t="s">
        <v>852</v>
      </c>
      <c r="BW161" s="37" t="s">
        <v>402</v>
      </c>
    </row>
    <row r="162" customFormat="false" ht="14.9" hidden="false" customHeight="false" outlineLevel="0" collapsed="false">
      <c r="A162" s="37" t="s">
        <v>865</v>
      </c>
      <c r="B162" s="62" t="s">
        <v>96</v>
      </c>
      <c r="C162" s="37" t="s">
        <v>95</v>
      </c>
      <c r="D162" s="37" t="n">
        <f aca="false">INDEX(Strain_IDs!C:C,MATCH(Table1[[#This Row],[Strains]],Strain_IDs!D:D,0))</f>
        <v>5</v>
      </c>
      <c r="E162" s="37" t="s">
        <v>382</v>
      </c>
      <c r="F162" s="37" t="s">
        <v>20</v>
      </c>
      <c r="G162" s="37" t="s">
        <v>21</v>
      </c>
      <c r="H162" s="37" t="s">
        <v>27</v>
      </c>
      <c r="I162" s="37" t="s">
        <v>455</v>
      </c>
      <c r="J162" s="37" t="s">
        <v>487</v>
      </c>
      <c r="K162" s="37" t="s">
        <v>384</v>
      </c>
      <c r="L162" s="37" t="s">
        <v>20</v>
      </c>
      <c r="M162" s="37" t="s">
        <v>385</v>
      </c>
      <c r="N162" s="37" t="s">
        <v>27</v>
      </c>
      <c r="O162" s="40" t="s">
        <v>455</v>
      </c>
      <c r="P162" s="37" t="s">
        <v>487</v>
      </c>
      <c r="Q162" s="37" t="s">
        <v>456</v>
      </c>
      <c r="R162" s="37" t="s">
        <v>62</v>
      </c>
      <c r="S162" s="37" t="s">
        <v>63</v>
      </c>
      <c r="T162" s="37" t="s">
        <v>387</v>
      </c>
      <c r="U162" s="37" t="s">
        <v>488</v>
      </c>
      <c r="V162" s="37" t="s">
        <v>489</v>
      </c>
      <c r="W162" s="37" t="s">
        <v>866</v>
      </c>
      <c r="X162" s="37" t="n">
        <v>25</v>
      </c>
      <c r="Y162" s="37"/>
      <c r="Z162" s="37"/>
      <c r="AB162" s="37"/>
      <c r="AC162" s="37"/>
      <c r="AD162" s="37"/>
      <c r="AE162" s="37" t="s">
        <v>845</v>
      </c>
      <c r="AF162" s="37" t="s">
        <v>389</v>
      </c>
      <c r="AG162" s="62" t="s">
        <v>446</v>
      </c>
      <c r="AH162" s="63" t="s">
        <v>846</v>
      </c>
      <c r="AI162" s="62"/>
      <c r="AJ162" s="37" t="s">
        <v>847</v>
      </c>
      <c r="AK162" s="37" t="n">
        <f aca="false">SUM(Table1[[#This Row],[reported_1302]:[reported_1286_iso]])</f>
        <v>55.9</v>
      </c>
      <c r="AL162" s="64" t="n">
        <v>24.9</v>
      </c>
      <c r="AM162" s="64" t="n">
        <v>8.7</v>
      </c>
      <c r="AN162" s="64" t="n">
        <v>9.1</v>
      </c>
      <c r="AO162" s="64" t="n">
        <v>2.9</v>
      </c>
      <c r="AP162" s="64" t="n">
        <v>7.8</v>
      </c>
      <c r="AQ162" s="64" t="n">
        <v>0.2</v>
      </c>
      <c r="AR162" s="64" t="n">
        <v>2.3</v>
      </c>
      <c r="AS162" s="64"/>
      <c r="AT162" s="64"/>
      <c r="AU162" s="64"/>
      <c r="AV162" s="64"/>
      <c r="AW162" s="64"/>
      <c r="AX162" s="64"/>
      <c r="AY162" s="64"/>
      <c r="AZ162" s="64"/>
      <c r="BA162" s="64" t="n">
        <f aca="false">AL162/SUM($AL162:$AQ162)</f>
        <v>0.46455223880597</v>
      </c>
      <c r="BB162" s="64" t="n">
        <f aca="false">AM162/SUM($AL162:$AQ162)</f>
        <v>0.162313432835821</v>
      </c>
      <c r="BC162" s="64" t="n">
        <f aca="false">AN162/SUM($AL162:$AQ162)</f>
        <v>0.169776119402985</v>
      </c>
      <c r="BD162" s="64" t="n">
        <f aca="false">AO162/SUM($AL162:$AQ162)</f>
        <v>0.0541044776119403</v>
      </c>
      <c r="BE162" s="64" t="n">
        <f aca="false">AP162/SUM($AL162:$AQ162)</f>
        <v>0.145522388059702</v>
      </c>
      <c r="BF162" s="64" t="n">
        <f aca="false">AQ162/SUM($AL162:$AQ162)</f>
        <v>0.00373134328358209</v>
      </c>
      <c r="BG162" s="65" t="e">
        <f aca="false">#N/A</f>
        <v>#N/A</v>
      </c>
      <c r="BH162" s="37" t="s">
        <v>393</v>
      </c>
      <c r="BI162" s="37" t="s">
        <v>463</v>
      </c>
      <c r="BJ162" s="37" t="s">
        <v>848</v>
      </c>
      <c r="BK162" s="40" t="s">
        <v>4</v>
      </c>
      <c r="BL162" s="37" t="s">
        <v>849</v>
      </c>
      <c r="BM162" s="37" t="s">
        <v>397</v>
      </c>
      <c r="BN162" s="37" t="s">
        <v>397</v>
      </c>
      <c r="BO162" s="37" t="s">
        <v>595</v>
      </c>
      <c r="BP162" s="37" t="s">
        <v>397</v>
      </c>
      <c r="BQ162" s="37" t="s">
        <v>397</v>
      </c>
      <c r="BR162" s="37" t="s">
        <v>405</v>
      </c>
      <c r="BS162" s="37" t="s">
        <v>405</v>
      </c>
      <c r="BT162" s="37" t="s">
        <v>850</v>
      </c>
      <c r="BU162" s="37" t="s">
        <v>851</v>
      </c>
      <c r="BV162" s="37" t="s">
        <v>852</v>
      </c>
      <c r="BW162" s="37" t="s">
        <v>402</v>
      </c>
    </row>
    <row r="163" customFormat="false" ht="14.9" hidden="false" customHeight="false" outlineLevel="0" collapsed="false">
      <c r="A163" s="37" t="s">
        <v>867</v>
      </c>
      <c r="B163" s="62" t="s">
        <v>96</v>
      </c>
      <c r="C163" s="37" t="s">
        <v>95</v>
      </c>
      <c r="D163" s="37" t="n">
        <f aca="false">INDEX(Strain_IDs!C:C,MATCH(Table1[[#This Row],[Strains]],Strain_IDs!D:D,0))</f>
        <v>5</v>
      </c>
      <c r="E163" s="37" t="s">
        <v>382</v>
      </c>
      <c r="F163" s="37" t="s">
        <v>20</v>
      </c>
      <c r="G163" s="37" t="s">
        <v>21</v>
      </c>
      <c r="H163" s="37" t="s">
        <v>27</v>
      </c>
      <c r="I163" s="37" t="s">
        <v>455</v>
      </c>
      <c r="J163" s="37" t="s">
        <v>487</v>
      </c>
      <c r="K163" s="37" t="s">
        <v>384</v>
      </c>
      <c r="L163" s="37" t="s">
        <v>20</v>
      </c>
      <c r="M163" s="37" t="s">
        <v>385</v>
      </c>
      <c r="N163" s="37" t="s">
        <v>27</v>
      </c>
      <c r="O163" s="40" t="s">
        <v>455</v>
      </c>
      <c r="P163" s="37" t="s">
        <v>487</v>
      </c>
      <c r="Q163" s="37" t="s">
        <v>456</v>
      </c>
      <c r="R163" s="37" t="s">
        <v>62</v>
      </c>
      <c r="S163" s="37" t="s">
        <v>63</v>
      </c>
      <c r="T163" s="37" t="s">
        <v>387</v>
      </c>
      <c r="U163" s="37" t="s">
        <v>488</v>
      </c>
      <c r="V163" s="37" t="s">
        <v>489</v>
      </c>
      <c r="W163" s="37" t="s">
        <v>868</v>
      </c>
      <c r="X163" s="37" t="n">
        <v>30</v>
      </c>
      <c r="Y163" s="37"/>
      <c r="Z163" s="37"/>
      <c r="AB163" s="37"/>
      <c r="AC163" s="37"/>
      <c r="AD163" s="37"/>
      <c r="AE163" s="37" t="s">
        <v>845</v>
      </c>
      <c r="AF163" s="37" t="s">
        <v>389</v>
      </c>
      <c r="AG163" s="62" t="s">
        <v>446</v>
      </c>
      <c r="AH163" s="63" t="s">
        <v>846</v>
      </c>
      <c r="AI163" s="62"/>
      <c r="AJ163" s="37" t="s">
        <v>847</v>
      </c>
      <c r="AK163" s="37" t="n">
        <f aca="false">SUM(Table1[[#This Row],[reported_1302]:[reported_1286_iso]])</f>
        <v>45</v>
      </c>
      <c r="AL163" s="64" t="n">
        <v>11</v>
      </c>
      <c r="AM163" s="64" t="n">
        <v>5.9</v>
      </c>
      <c r="AN163" s="64" t="n">
        <v>12.2</v>
      </c>
      <c r="AO163" s="64" t="n">
        <v>4.6</v>
      </c>
      <c r="AP163" s="64" t="n">
        <v>5.5</v>
      </c>
      <c r="AQ163" s="64" t="n">
        <v>0.4</v>
      </c>
      <c r="AR163" s="64" t="n">
        <v>5.4</v>
      </c>
      <c r="AS163" s="64"/>
      <c r="AT163" s="64"/>
      <c r="AU163" s="64"/>
      <c r="AV163" s="64"/>
      <c r="AW163" s="64"/>
      <c r="AX163" s="64"/>
      <c r="AY163" s="64"/>
      <c r="AZ163" s="64"/>
      <c r="BA163" s="64" t="n">
        <f aca="false">AL163/SUM($AL163:$AQ163)</f>
        <v>0.277777777777778</v>
      </c>
      <c r="BB163" s="64" t="n">
        <f aca="false">AM163/SUM($AL163:$AQ163)</f>
        <v>0.148989898989899</v>
      </c>
      <c r="BC163" s="64" t="n">
        <f aca="false">AN163/SUM($AL163:$AQ163)</f>
        <v>0.308080808080808</v>
      </c>
      <c r="BD163" s="64" t="n">
        <f aca="false">AO163/SUM($AL163:$AQ163)</f>
        <v>0.116161616161616</v>
      </c>
      <c r="BE163" s="64" t="n">
        <f aca="false">AP163/SUM($AL163:$AQ163)</f>
        <v>0.138888888888889</v>
      </c>
      <c r="BF163" s="64" t="n">
        <f aca="false">AQ163/SUM($AL163:$AQ163)</f>
        <v>0.0101010101010101</v>
      </c>
      <c r="BG163" s="65" t="e">
        <f aca="false">#N/A</f>
        <v>#N/A</v>
      </c>
      <c r="BH163" s="37" t="s">
        <v>393</v>
      </c>
      <c r="BI163" s="37" t="s">
        <v>463</v>
      </c>
      <c r="BJ163" s="37" t="s">
        <v>848</v>
      </c>
      <c r="BK163" s="40" t="s">
        <v>4</v>
      </c>
      <c r="BL163" s="37" t="s">
        <v>849</v>
      </c>
      <c r="BM163" s="37" t="s">
        <v>397</v>
      </c>
      <c r="BN163" s="37" t="s">
        <v>397</v>
      </c>
      <c r="BO163" s="37" t="s">
        <v>595</v>
      </c>
      <c r="BP163" s="37" t="s">
        <v>397</v>
      </c>
      <c r="BQ163" s="37" t="s">
        <v>397</v>
      </c>
      <c r="BR163" s="37" t="s">
        <v>405</v>
      </c>
      <c r="BS163" s="37" t="s">
        <v>405</v>
      </c>
      <c r="BT163" s="37" t="s">
        <v>850</v>
      </c>
      <c r="BU163" s="37" t="s">
        <v>851</v>
      </c>
      <c r="BV163" s="37" t="s">
        <v>852</v>
      </c>
      <c r="BW163" s="37" t="s">
        <v>402</v>
      </c>
    </row>
    <row r="164" customFormat="false" ht="14.9" hidden="false" customHeight="false" outlineLevel="0" collapsed="false">
      <c r="A164" s="37" t="s">
        <v>869</v>
      </c>
      <c r="B164" s="62" t="s">
        <v>96</v>
      </c>
      <c r="C164" s="37" t="s">
        <v>95</v>
      </c>
      <c r="D164" s="37" t="n">
        <f aca="false">INDEX(Strain_IDs!C:C,MATCH(Table1[[#This Row],[Strains]],Strain_IDs!D:D,0))</f>
        <v>5</v>
      </c>
      <c r="E164" s="37" t="s">
        <v>382</v>
      </c>
      <c r="F164" s="37" t="s">
        <v>20</v>
      </c>
      <c r="G164" s="37" t="s">
        <v>21</v>
      </c>
      <c r="H164" s="37" t="s">
        <v>27</v>
      </c>
      <c r="I164" s="37" t="s">
        <v>455</v>
      </c>
      <c r="J164" s="37" t="s">
        <v>487</v>
      </c>
      <c r="K164" s="37" t="s">
        <v>384</v>
      </c>
      <c r="L164" s="37" t="s">
        <v>20</v>
      </c>
      <c r="M164" s="37" t="s">
        <v>385</v>
      </c>
      <c r="N164" s="37" t="s">
        <v>27</v>
      </c>
      <c r="O164" s="40" t="s">
        <v>455</v>
      </c>
      <c r="P164" s="37" t="s">
        <v>487</v>
      </c>
      <c r="Q164" s="37" t="s">
        <v>456</v>
      </c>
      <c r="R164" s="37" t="s">
        <v>62</v>
      </c>
      <c r="S164" s="37" t="s">
        <v>63</v>
      </c>
      <c r="T164" s="37" t="s">
        <v>387</v>
      </c>
      <c r="U164" s="37" t="s">
        <v>488</v>
      </c>
      <c r="V164" s="37" t="s">
        <v>489</v>
      </c>
      <c r="W164" s="37" t="s">
        <v>870</v>
      </c>
      <c r="X164" s="37" t="n">
        <v>20</v>
      </c>
      <c r="Y164" s="37"/>
      <c r="Z164" s="37"/>
      <c r="AB164" s="37"/>
      <c r="AC164" s="37"/>
      <c r="AD164" s="37"/>
      <c r="AE164" s="37" t="s">
        <v>522</v>
      </c>
      <c r="AF164" s="37" t="s">
        <v>389</v>
      </c>
      <c r="AG164" s="62" t="s">
        <v>446</v>
      </c>
      <c r="AH164" s="63" t="s">
        <v>846</v>
      </c>
      <c r="AI164" s="62"/>
      <c r="AJ164" s="37" t="s">
        <v>847</v>
      </c>
      <c r="AK164" s="37" t="n">
        <f aca="false">SUM(Table1[[#This Row],[reported_1302]:[reported_1286_iso]])</f>
        <v>43.8</v>
      </c>
      <c r="AL164" s="64" t="n">
        <v>23.4</v>
      </c>
      <c r="AM164" s="64" t="n">
        <v>5.5</v>
      </c>
      <c r="AN164" s="64" t="n">
        <v>4</v>
      </c>
      <c r="AO164" s="64" t="n">
        <v>2.2</v>
      </c>
      <c r="AP164" s="64" t="n">
        <v>7.3</v>
      </c>
      <c r="AQ164" s="64" t="n">
        <v>0.2</v>
      </c>
      <c r="AR164" s="64" t="n">
        <v>1.2</v>
      </c>
      <c r="AS164" s="64"/>
      <c r="AT164" s="64"/>
      <c r="AU164" s="64"/>
      <c r="AV164" s="64"/>
      <c r="AW164" s="64"/>
      <c r="AX164" s="64"/>
      <c r="AY164" s="64"/>
      <c r="AZ164" s="64"/>
      <c r="BA164" s="64" t="n">
        <f aca="false">AL164/SUM($AL164:$AQ164)</f>
        <v>0.549295774647887</v>
      </c>
      <c r="BB164" s="64" t="n">
        <f aca="false">AM164/SUM($AL164:$AQ164)</f>
        <v>0.129107981220657</v>
      </c>
      <c r="BC164" s="64" t="n">
        <f aca="false">AN164/SUM($AL164:$AQ164)</f>
        <v>0.0938967136150235</v>
      </c>
      <c r="BD164" s="64" t="n">
        <f aca="false">AO164/SUM($AL164:$AQ164)</f>
        <v>0.0516431924882629</v>
      </c>
      <c r="BE164" s="64" t="n">
        <f aca="false">AP164/SUM($AL164:$AQ164)</f>
        <v>0.171361502347418</v>
      </c>
      <c r="BF164" s="64" t="n">
        <f aca="false">AQ164/SUM($AL164:$AQ164)</f>
        <v>0.00469483568075117</v>
      </c>
      <c r="BG164" s="65" t="e">
        <f aca="false">#N/A</f>
        <v>#N/A</v>
      </c>
      <c r="BH164" s="37" t="s">
        <v>393</v>
      </c>
      <c r="BI164" s="37" t="s">
        <v>463</v>
      </c>
      <c r="BJ164" s="37" t="s">
        <v>848</v>
      </c>
      <c r="BK164" s="40" t="s">
        <v>4</v>
      </c>
      <c r="BL164" s="37" t="s">
        <v>849</v>
      </c>
      <c r="BM164" s="37" t="s">
        <v>397</v>
      </c>
      <c r="BN164" s="37" t="s">
        <v>397</v>
      </c>
      <c r="BO164" s="37" t="s">
        <v>595</v>
      </c>
      <c r="BP164" s="37" t="s">
        <v>397</v>
      </c>
      <c r="BQ164" s="37" t="s">
        <v>397</v>
      </c>
      <c r="BR164" s="37" t="s">
        <v>405</v>
      </c>
      <c r="BS164" s="37" t="s">
        <v>405</v>
      </c>
      <c r="BT164" s="37" t="s">
        <v>850</v>
      </c>
      <c r="BU164" s="37" t="s">
        <v>851</v>
      </c>
      <c r="BV164" s="37" t="s">
        <v>852</v>
      </c>
      <c r="BW164" s="37" t="s">
        <v>402</v>
      </c>
    </row>
    <row r="165" customFormat="false" ht="14.9" hidden="false" customHeight="false" outlineLevel="0" collapsed="false">
      <c r="A165" s="37" t="s">
        <v>871</v>
      </c>
      <c r="B165" s="62" t="s">
        <v>96</v>
      </c>
      <c r="C165" s="37" t="s">
        <v>95</v>
      </c>
      <c r="D165" s="37" t="n">
        <f aca="false">INDEX(Strain_IDs!C:C,MATCH(Table1[[#This Row],[Strains]],Strain_IDs!D:D,0))</f>
        <v>5</v>
      </c>
      <c r="E165" s="37" t="s">
        <v>382</v>
      </c>
      <c r="F165" s="37" t="s">
        <v>20</v>
      </c>
      <c r="G165" s="37" t="s">
        <v>21</v>
      </c>
      <c r="H165" s="37" t="s">
        <v>27</v>
      </c>
      <c r="I165" s="37" t="s">
        <v>455</v>
      </c>
      <c r="J165" s="37" t="s">
        <v>487</v>
      </c>
      <c r="K165" s="37" t="s">
        <v>384</v>
      </c>
      <c r="L165" s="37" t="s">
        <v>20</v>
      </c>
      <c r="M165" s="37" t="s">
        <v>385</v>
      </c>
      <c r="N165" s="37" t="s">
        <v>27</v>
      </c>
      <c r="O165" s="40" t="s">
        <v>455</v>
      </c>
      <c r="P165" s="37" t="s">
        <v>487</v>
      </c>
      <c r="Q165" s="37" t="s">
        <v>456</v>
      </c>
      <c r="R165" s="37" t="s">
        <v>62</v>
      </c>
      <c r="S165" s="37" t="s">
        <v>63</v>
      </c>
      <c r="T165" s="37" t="s">
        <v>387</v>
      </c>
      <c r="U165" s="37" t="s">
        <v>488</v>
      </c>
      <c r="V165" s="37" t="s">
        <v>489</v>
      </c>
      <c r="W165" s="37" t="s">
        <v>872</v>
      </c>
      <c r="X165" s="37" t="n">
        <v>25</v>
      </c>
      <c r="Y165" s="37"/>
      <c r="Z165" s="37"/>
      <c r="AB165" s="37"/>
      <c r="AC165" s="37"/>
      <c r="AD165" s="37"/>
      <c r="AE165" s="37" t="s">
        <v>522</v>
      </c>
      <c r="AF165" s="37" t="s">
        <v>389</v>
      </c>
      <c r="AG165" s="62" t="s">
        <v>446</v>
      </c>
      <c r="AH165" s="63" t="s">
        <v>846</v>
      </c>
      <c r="AI165" s="62"/>
      <c r="AJ165" s="37" t="s">
        <v>847</v>
      </c>
      <c r="AK165" s="37" t="n">
        <f aca="false">SUM(Table1[[#This Row],[reported_1302]:[reported_1286_iso]])</f>
        <v>57.5</v>
      </c>
      <c r="AL165" s="64" t="n">
        <v>24.6</v>
      </c>
      <c r="AM165" s="64" t="n">
        <v>8.5</v>
      </c>
      <c r="AN165" s="64" t="n">
        <v>8.6</v>
      </c>
      <c r="AO165" s="64" t="n">
        <v>3.2</v>
      </c>
      <c r="AP165" s="64" t="n">
        <v>10</v>
      </c>
      <c r="AQ165" s="64" t="n">
        <v>0.3</v>
      </c>
      <c r="AR165" s="64" t="n">
        <v>2.3</v>
      </c>
      <c r="AS165" s="64"/>
      <c r="AT165" s="64"/>
      <c r="AU165" s="64"/>
      <c r="AV165" s="64"/>
      <c r="AW165" s="64"/>
      <c r="AX165" s="64"/>
      <c r="AY165" s="64"/>
      <c r="AZ165" s="64"/>
      <c r="BA165" s="64" t="n">
        <f aca="false">AL165/SUM($AL165:$AQ165)</f>
        <v>0.445652173913043</v>
      </c>
      <c r="BB165" s="64" t="n">
        <f aca="false">AM165/SUM($AL165:$AQ165)</f>
        <v>0.153985507246377</v>
      </c>
      <c r="BC165" s="64" t="n">
        <f aca="false">AN165/SUM($AL165:$AQ165)</f>
        <v>0.155797101449275</v>
      </c>
      <c r="BD165" s="64" t="n">
        <f aca="false">AO165/SUM($AL165:$AQ165)</f>
        <v>0.0579710144927536</v>
      </c>
      <c r="BE165" s="64" t="n">
        <f aca="false">AP165/SUM($AL165:$AQ165)</f>
        <v>0.181159420289855</v>
      </c>
      <c r="BF165" s="64" t="n">
        <f aca="false">AQ165/SUM($AL165:$AQ165)</f>
        <v>0.00543478260869565</v>
      </c>
      <c r="BG165" s="65" t="e">
        <f aca="false">#N/A</f>
        <v>#N/A</v>
      </c>
      <c r="BH165" s="37" t="s">
        <v>393</v>
      </c>
      <c r="BI165" s="37" t="s">
        <v>463</v>
      </c>
      <c r="BJ165" s="37" t="s">
        <v>848</v>
      </c>
      <c r="BK165" s="40" t="s">
        <v>4</v>
      </c>
      <c r="BL165" s="37" t="s">
        <v>849</v>
      </c>
      <c r="BM165" s="37" t="s">
        <v>397</v>
      </c>
      <c r="BN165" s="37" t="s">
        <v>397</v>
      </c>
      <c r="BO165" s="37" t="s">
        <v>595</v>
      </c>
      <c r="BP165" s="37" t="s">
        <v>397</v>
      </c>
      <c r="BQ165" s="37" t="s">
        <v>397</v>
      </c>
      <c r="BR165" s="37" t="s">
        <v>405</v>
      </c>
      <c r="BS165" s="37" t="s">
        <v>405</v>
      </c>
      <c r="BT165" s="37" t="s">
        <v>850</v>
      </c>
      <c r="BU165" s="37" t="s">
        <v>851</v>
      </c>
      <c r="BV165" s="37" t="s">
        <v>852</v>
      </c>
      <c r="BW165" s="37" t="s">
        <v>402</v>
      </c>
    </row>
    <row r="166" customFormat="false" ht="14.9" hidden="false" customHeight="false" outlineLevel="0" collapsed="false">
      <c r="A166" s="37" t="s">
        <v>873</v>
      </c>
      <c r="B166" s="62" t="s">
        <v>96</v>
      </c>
      <c r="C166" s="37" t="s">
        <v>95</v>
      </c>
      <c r="D166" s="37" t="n">
        <f aca="false">INDEX(Strain_IDs!C:C,MATCH(Table1[[#This Row],[Strains]],Strain_IDs!D:D,0))</f>
        <v>5</v>
      </c>
      <c r="E166" s="37" t="s">
        <v>382</v>
      </c>
      <c r="F166" s="37" t="s">
        <v>20</v>
      </c>
      <c r="G166" s="37" t="s">
        <v>21</v>
      </c>
      <c r="H166" s="37" t="s">
        <v>27</v>
      </c>
      <c r="I166" s="37" t="s">
        <v>455</v>
      </c>
      <c r="J166" s="37" t="s">
        <v>487</v>
      </c>
      <c r="K166" s="37" t="s">
        <v>384</v>
      </c>
      <c r="L166" s="37" t="s">
        <v>20</v>
      </c>
      <c r="M166" s="37" t="s">
        <v>385</v>
      </c>
      <c r="N166" s="37" t="s">
        <v>27</v>
      </c>
      <c r="O166" s="40" t="s">
        <v>455</v>
      </c>
      <c r="P166" s="37" t="s">
        <v>487</v>
      </c>
      <c r="Q166" s="37" t="s">
        <v>456</v>
      </c>
      <c r="R166" s="37" t="s">
        <v>62</v>
      </c>
      <c r="S166" s="37" t="s">
        <v>63</v>
      </c>
      <c r="T166" s="37" t="s">
        <v>387</v>
      </c>
      <c r="U166" s="37" t="s">
        <v>488</v>
      </c>
      <c r="V166" s="37" t="s">
        <v>489</v>
      </c>
      <c r="W166" s="37" t="s">
        <v>874</v>
      </c>
      <c r="X166" s="37" t="n">
        <v>30</v>
      </c>
      <c r="Y166" s="37"/>
      <c r="Z166" s="37"/>
      <c r="AB166" s="37"/>
      <c r="AC166" s="37"/>
      <c r="AD166" s="37"/>
      <c r="AE166" s="37" t="s">
        <v>522</v>
      </c>
      <c r="AF166" s="37" t="s">
        <v>389</v>
      </c>
      <c r="AG166" s="62" t="s">
        <v>446</v>
      </c>
      <c r="AH166" s="63" t="s">
        <v>846</v>
      </c>
      <c r="AI166" s="62"/>
      <c r="AJ166" s="37" t="s">
        <v>847</v>
      </c>
      <c r="AK166" s="37" t="n">
        <f aca="false">SUM(Table1[[#This Row],[reported_1302]:[reported_1286_iso]])</f>
        <v>52.7</v>
      </c>
      <c r="AL166" s="64" t="n">
        <v>16.4</v>
      </c>
      <c r="AM166" s="64" t="n">
        <v>6.1</v>
      </c>
      <c r="AN166" s="64" t="n">
        <v>8.8</v>
      </c>
      <c r="AO166" s="64" t="n">
        <v>4.2</v>
      </c>
      <c r="AP166" s="64" t="n">
        <v>11.2</v>
      </c>
      <c r="AQ166" s="64" t="n">
        <v>0.5</v>
      </c>
      <c r="AR166" s="64" t="n">
        <v>5.5</v>
      </c>
      <c r="AS166" s="64"/>
      <c r="AT166" s="64"/>
      <c r="AU166" s="64"/>
      <c r="AV166" s="64"/>
      <c r="AW166" s="64"/>
      <c r="AX166" s="64"/>
      <c r="AY166" s="64"/>
      <c r="AZ166" s="64"/>
      <c r="BA166" s="64" t="n">
        <f aca="false">AL166/SUM($AL166:$AQ166)</f>
        <v>0.347457627118644</v>
      </c>
      <c r="BB166" s="64" t="n">
        <f aca="false">AM166/SUM($AL166:$AQ166)</f>
        <v>0.129237288135593</v>
      </c>
      <c r="BC166" s="64" t="n">
        <f aca="false">AN166/SUM($AL166:$AQ166)</f>
        <v>0.186440677966102</v>
      </c>
      <c r="BD166" s="64" t="n">
        <f aca="false">AO166/SUM($AL166:$AQ166)</f>
        <v>0.0889830508474576</v>
      </c>
      <c r="BE166" s="64" t="n">
        <f aca="false">AP166/SUM($AL166:$AQ166)</f>
        <v>0.23728813559322</v>
      </c>
      <c r="BF166" s="64" t="n">
        <f aca="false">AQ166/SUM($AL166:$AQ166)</f>
        <v>0.0105932203389831</v>
      </c>
      <c r="BG166" s="65" t="e">
        <f aca="false">#N/A</f>
        <v>#N/A</v>
      </c>
      <c r="BH166" s="37" t="s">
        <v>393</v>
      </c>
      <c r="BI166" s="37" t="s">
        <v>463</v>
      </c>
      <c r="BJ166" s="37" t="s">
        <v>848</v>
      </c>
      <c r="BK166" s="40" t="s">
        <v>4</v>
      </c>
      <c r="BL166" s="37" t="s">
        <v>849</v>
      </c>
      <c r="BM166" s="37" t="s">
        <v>397</v>
      </c>
      <c r="BN166" s="37" t="s">
        <v>397</v>
      </c>
      <c r="BO166" s="37" t="s">
        <v>595</v>
      </c>
      <c r="BP166" s="37" t="s">
        <v>397</v>
      </c>
      <c r="BQ166" s="37" t="s">
        <v>397</v>
      </c>
      <c r="BR166" s="37" t="s">
        <v>405</v>
      </c>
      <c r="BS166" s="37" t="s">
        <v>405</v>
      </c>
      <c r="BT166" s="37" t="s">
        <v>850</v>
      </c>
      <c r="BU166" s="37" t="s">
        <v>851</v>
      </c>
      <c r="BV166" s="37" t="s">
        <v>852</v>
      </c>
      <c r="BW166" s="37" t="s">
        <v>402</v>
      </c>
    </row>
    <row r="167" customFormat="false" ht="14.9" hidden="false" customHeight="false" outlineLevel="0" collapsed="false">
      <c r="A167" s="37" t="s">
        <v>875</v>
      </c>
      <c r="B167" s="62" t="s">
        <v>214</v>
      </c>
      <c r="C167" s="37" t="s">
        <v>213</v>
      </c>
      <c r="D167" s="37" t="n">
        <f aca="false">INDEX(Strain_IDs!C:C,MATCH(Table1[[#This Row],[Strains]],Strain_IDs!D:D,0))</f>
        <v>16</v>
      </c>
      <c r="E167" s="37" t="s">
        <v>382</v>
      </c>
      <c r="F167" s="37" t="s">
        <v>20</v>
      </c>
      <c r="G167" s="37" t="s">
        <v>21</v>
      </c>
      <c r="H167" s="37" t="s">
        <v>28</v>
      </c>
      <c r="I167" s="37" t="s">
        <v>520</v>
      </c>
      <c r="J167" s="37" t="s">
        <v>709</v>
      </c>
      <c r="K167" s="37" t="s">
        <v>384</v>
      </c>
      <c r="L167" s="37" t="s">
        <v>20</v>
      </c>
      <c r="M167" s="37" t="s">
        <v>385</v>
      </c>
      <c r="N167" s="37" t="s">
        <v>27</v>
      </c>
      <c r="O167" s="37" t="s">
        <v>520</v>
      </c>
      <c r="P167" s="37" t="s">
        <v>709</v>
      </c>
      <c r="Q167" s="37" t="s">
        <v>702</v>
      </c>
      <c r="R167" s="37" t="s">
        <v>207</v>
      </c>
      <c r="S167" s="37" t="s">
        <v>208</v>
      </c>
      <c r="T167" s="37" t="s">
        <v>387</v>
      </c>
      <c r="U167" s="37"/>
      <c r="V167" s="37"/>
      <c r="W167" s="37" t="s">
        <v>876</v>
      </c>
      <c r="X167" s="37" t="n">
        <v>32</v>
      </c>
      <c r="Y167" s="37"/>
      <c r="Z167" s="37"/>
      <c r="AB167" s="37"/>
      <c r="AC167" s="37"/>
      <c r="AD167" s="37"/>
      <c r="AE167" s="37"/>
      <c r="AF167" s="37" t="s">
        <v>389</v>
      </c>
      <c r="AG167" s="62" t="s">
        <v>446</v>
      </c>
      <c r="AH167" s="52" t="s">
        <v>877</v>
      </c>
      <c r="AI167" s="62"/>
      <c r="AJ167" s="1" t="s">
        <v>878</v>
      </c>
      <c r="AK167" s="37" t="n">
        <f aca="false">SUM(Table1[[#This Row],[reported_1302]:[reported_1286_iso]])</f>
        <v>1</v>
      </c>
      <c r="AL167" s="64" t="n">
        <v>0.0646229223325278</v>
      </c>
      <c r="AM167" s="64" t="n">
        <v>0.0523565556535949</v>
      </c>
      <c r="AN167" s="64" t="n">
        <v>0.0478738575680938</v>
      </c>
      <c r="AO167" s="64" t="n">
        <v>0.0716534139217858</v>
      </c>
      <c r="AP167" s="64" t="n">
        <v>0.604613325377816</v>
      </c>
      <c r="AQ167" s="64" t="n">
        <v>0.0790791940219373</v>
      </c>
      <c r="AR167" s="64" t="n">
        <v>0.0798007311242446</v>
      </c>
      <c r="AS167" s="64"/>
      <c r="AT167" s="64"/>
      <c r="AU167" s="64"/>
      <c r="AV167" s="64"/>
      <c r="AW167" s="64"/>
      <c r="AX167" s="64"/>
      <c r="AY167" s="64"/>
      <c r="AZ167" s="64"/>
      <c r="BA167" s="64" t="n">
        <f aca="false">AL167/SUM($AL167:$AQ167)</f>
        <v>0.0702270959326888</v>
      </c>
      <c r="BB167" s="64" t="n">
        <f aca="false">AM167/SUM($AL167:$AQ167)</f>
        <v>0.0568969759317034</v>
      </c>
      <c r="BC167" s="64" t="n">
        <f aca="false">AN167/SUM($AL167:$AQ167)</f>
        <v>0.0520255331506438</v>
      </c>
      <c r="BD167" s="64" t="n">
        <f aca="false">AO167/SUM($AL167:$AQ167)</f>
        <v>0.0778672797787893</v>
      </c>
      <c r="BE167" s="64" t="n">
        <f aca="false">AP167/SUM($AL167:$AQ167)</f>
        <v>0.657046083199454</v>
      </c>
      <c r="BF167" s="64" t="n">
        <f aca="false">AQ167/SUM($AL167:$AQ167)</f>
        <v>0.0859370320067213</v>
      </c>
      <c r="BG167" s="65" t="e">
        <f aca="false">#N/A</f>
        <v>#N/A</v>
      </c>
      <c r="BH167" s="37" t="s">
        <v>393</v>
      </c>
      <c r="BI167" s="37" t="s">
        <v>463</v>
      </c>
      <c r="BJ167" s="37" t="s">
        <v>879</v>
      </c>
      <c r="BK167" s="40" t="s">
        <v>5</v>
      </c>
      <c r="BL167" s="40" t="s">
        <v>5</v>
      </c>
      <c r="BM167" s="37" t="s">
        <v>397</v>
      </c>
      <c r="BN167" s="37" t="s">
        <v>397</v>
      </c>
      <c r="BO167" s="37" t="s">
        <v>595</v>
      </c>
      <c r="BP167" s="37" t="s">
        <v>397</v>
      </c>
      <c r="BQ167" s="37" t="s">
        <v>397</v>
      </c>
      <c r="BR167" s="37" t="s">
        <v>405</v>
      </c>
      <c r="BS167" s="37" t="s">
        <v>405</v>
      </c>
      <c r="BT167" s="37" t="s">
        <v>880</v>
      </c>
      <c r="BU167" s="37" t="s">
        <v>466</v>
      </c>
      <c r="BV167" s="37" t="s">
        <v>881</v>
      </c>
      <c r="BW167" s="37" t="s">
        <v>881</v>
      </c>
    </row>
    <row r="168" customFormat="false" ht="14.9" hidden="false" customHeight="false" outlineLevel="0" collapsed="false">
      <c r="A168" s="37" t="s">
        <v>882</v>
      </c>
      <c r="B168" s="62" t="s">
        <v>214</v>
      </c>
      <c r="C168" s="37" t="s">
        <v>213</v>
      </c>
      <c r="D168" s="37" t="n">
        <f aca="false">INDEX(Strain_IDs!C:C,MATCH(Table1[[#This Row],[Strains]],Strain_IDs!D:D,0))</f>
        <v>16</v>
      </c>
      <c r="E168" s="37" t="s">
        <v>382</v>
      </c>
      <c r="F168" s="37" t="s">
        <v>20</v>
      </c>
      <c r="G168" s="37" t="s">
        <v>21</v>
      </c>
      <c r="H168" s="37" t="s">
        <v>28</v>
      </c>
      <c r="I168" s="37" t="s">
        <v>520</v>
      </c>
      <c r="J168" s="37" t="s">
        <v>709</v>
      </c>
      <c r="K168" s="37" t="s">
        <v>384</v>
      </c>
      <c r="L168" s="37" t="s">
        <v>20</v>
      </c>
      <c r="M168" s="37" t="s">
        <v>385</v>
      </c>
      <c r="N168" s="37" t="s">
        <v>27</v>
      </c>
      <c r="O168" s="37" t="s">
        <v>520</v>
      </c>
      <c r="P168" s="37" t="s">
        <v>709</v>
      </c>
      <c r="Q168" s="37" t="s">
        <v>702</v>
      </c>
      <c r="R168" s="37" t="s">
        <v>207</v>
      </c>
      <c r="S168" s="37" t="s">
        <v>208</v>
      </c>
      <c r="T168" s="37" t="s">
        <v>387</v>
      </c>
      <c r="U168" s="37"/>
      <c r="V168" s="37"/>
      <c r="W168" s="37" t="s">
        <v>883</v>
      </c>
      <c r="X168" s="37" t="n">
        <v>37</v>
      </c>
      <c r="Y168" s="37"/>
      <c r="Z168" s="37"/>
      <c r="AB168" s="37"/>
      <c r="AC168" s="37"/>
      <c r="AD168" s="37"/>
      <c r="AE168" s="37"/>
      <c r="AF168" s="37" t="s">
        <v>389</v>
      </c>
      <c r="AG168" s="62" t="s">
        <v>446</v>
      </c>
      <c r="AH168" s="52" t="s">
        <v>877</v>
      </c>
      <c r="AI168" s="62"/>
      <c r="AJ168" s="1" t="s">
        <v>878</v>
      </c>
      <c r="AK168" s="37" t="n">
        <f aca="false">SUM(Table1[[#This Row],[reported_1302]:[reported_1286_iso]])</f>
        <v>1</v>
      </c>
      <c r="AL168" s="64" t="n">
        <v>0.0356433767201007</v>
      </c>
      <c r="AM168" s="64" t="n">
        <v>0.0309069050432531</v>
      </c>
      <c r="AN168" s="64" t="n">
        <v>0.0314784922489127</v>
      </c>
      <c r="AO168" s="64" t="n">
        <v>0.0593152981941857</v>
      </c>
      <c r="AP168" s="64" t="n">
        <v>0.6306890688125</v>
      </c>
      <c r="AQ168" s="64" t="n">
        <v>0.110109770635775</v>
      </c>
      <c r="AR168" s="64" t="n">
        <v>0.101857088345273</v>
      </c>
      <c r="AS168" s="64"/>
      <c r="AT168" s="64"/>
      <c r="AU168" s="64"/>
      <c r="AV168" s="64"/>
      <c r="AW168" s="64"/>
      <c r="AX168" s="64"/>
      <c r="AY168" s="64"/>
      <c r="AZ168" s="64"/>
      <c r="BA168" s="64" t="n">
        <f aca="false">AL168/SUM($AL168:$AQ168)</f>
        <v>0.0396856405117442</v>
      </c>
      <c r="BB168" s="64" t="n">
        <f aca="false">AM168/SUM($AL168:$AQ168)</f>
        <v>0.0344120124338682</v>
      </c>
      <c r="BC168" s="64" t="n">
        <f aca="false">AN168/SUM($AL168:$AQ168)</f>
        <v>0.035048422517656</v>
      </c>
      <c r="BD168" s="64" t="n">
        <f aca="false">AO168/SUM($AL168:$AQ168)</f>
        <v>0.0660421603560885</v>
      </c>
      <c r="BE168" s="64" t="n">
        <f aca="false">AP168/SUM($AL168:$AQ168)</f>
        <v>0.702214603743325</v>
      </c>
      <c r="BF168" s="64" t="n">
        <f aca="false">AQ168/SUM($AL168:$AQ168)</f>
        <v>0.122597160437319</v>
      </c>
      <c r="BG168" s="65" t="e">
        <f aca="false">#N/A</f>
        <v>#N/A</v>
      </c>
      <c r="BH168" s="37" t="s">
        <v>393</v>
      </c>
      <c r="BI168" s="37" t="s">
        <v>463</v>
      </c>
      <c r="BJ168" s="37" t="s">
        <v>879</v>
      </c>
      <c r="BK168" s="40" t="s">
        <v>5</v>
      </c>
      <c r="BL168" s="40" t="s">
        <v>5</v>
      </c>
      <c r="BM168" s="37" t="s">
        <v>397</v>
      </c>
      <c r="BN168" s="37" t="s">
        <v>397</v>
      </c>
      <c r="BO168" s="37" t="s">
        <v>595</v>
      </c>
      <c r="BP168" s="37" t="s">
        <v>397</v>
      </c>
      <c r="BQ168" s="37" t="s">
        <v>397</v>
      </c>
      <c r="BR168" s="37" t="s">
        <v>405</v>
      </c>
      <c r="BS168" s="37" t="s">
        <v>405</v>
      </c>
      <c r="BT168" s="37" t="s">
        <v>880</v>
      </c>
      <c r="BU168" s="37" t="s">
        <v>466</v>
      </c>
      <c r="BV168" s="37" t="s">
        <v>881</v>
      </c>
      <c r="BW168" s="37" t="s">
        <v>881</v>
      </c>
    </row>
    <row r="169" customFormat="false" ht="14.9" hidden="false" customHeight="false" outlineLevel="0" collapsed="false">
      <c r="A169" s="37" t="s">
        <v>884</v>
      </c>
      <c r="B169" s="62" t="s">
        <v>214</v>
      </c>
      <c r="C169" s="37" t="s">
        <v>213</v>
      </c>
      <c r="D169" s="37" t="n">
        <f aca="false">INDEX(Strain_IDs!C:C,MATCH(Table1[[#This Row],[Strains]],Strain_IDs!D:D,0))</f>
        <v>16</v>
      </c>
      <c r="E169" s="37" t="s">
        <v>382</v>
      </c>
      <c r="F169" s="37" t="s">
        <v>20</v>
      </c>
      <c r="G169" s="37" t="s">
        <v>21</v>
      </c>
      <c r="H169" s="37" t="s">
        <v>28</v>
      </c>
      <c r="I169" s="37" t="s">
        <v>520</v>
      </c>
      <c r="J169" s="37" t="s">
        <v>709</v>
      </c>
      <c r="K169" s="37" t="s">
        <v>384</v>
      </c>
      <c r="L169" s="37" t="s">
        <v>20</v>
      </c>
      <c r="M169" s="37" t="s">
        <v>385</v>
      </c>
      <c r="N169" s="37" t="s">
        <v>27</v>
      </c>
      <c r="O169" s="37" t="s">
        <v>520</v>
      </c>
      <c r="P169" s="37" t="s">
        <v>709</v>
      </c>
      <c r="Q169" s="37" t="s">
        <v>702</v>
      </c>
      <c r="R169" s="37" t="s">
        <v>207</v>
      </c>
      <c r="S169" s="37" t="s">
        <v>208</v>
      </c>
      <c r="T169" s="37" t="s">
        <v>387</v>
      </c>
      <c r="U169" s="37"/>
      <c r="V169" s="37"/>
      <c r="W169" s="37" t="s">
        <v>885</v>
      </c>
      <c r="X169" s="37" t="n">
        <v>42</v>
      </c>
      <c r="Y169" s="37"/>
      <c r="Z169" s="37"/>
      <c r="AB169" s="37"/>
      <c r="AC169" s="37"/>
      <c r="AD169" s="37"/>
      <c r="AE169" s="37"/>
      <c r="AF169" s="37" t="s">
        <v>389</v>
      </c>
      <c r="AG169" s="62" t="s">
        <v>446</v>
      </c>
      <c r="AH169" s="52" t="s">
        <v>877</v>
      </c>
      <c r="AI169" s="62"/>
      <c r="AJ169" s="1" t="s">
        <v>878</v>
      </c>
      <c r="AK169" s="37" t="n">
        <f aca="false">SUM(Table1[[#This Row],[reported_1302]:[reported_1286_iso]])</f>
        <v>1</v>
      </c>
      <c r="AL169" s="64" t="n">
        <v>0.0279585536034026</v>
      </c>
      <c r="AM169" s="64" t="n">
        <v>0.02478284343528</v>
      </c>
      <c r="AN169" s="64" t="n">
        <v>0.0234857527861734</v>
      </c>
      <c r="AO169" s="64" t="n">
        <v>0.0460937838894981</v>
      </c>
      <c r="AP169" s="64" t="n">
        <v>0.646853184616807</v>
      </c>
      <c r="AQ169" s="64" t="n">
        <v>0.117210880046558</v>
      </c>
      <c r="AR169" s="64" t="n">
        <v>0.113615001622281</v>
      </c>
      <c r="AS169" s="64"/>
      <c r="AT169" s="64"/>
      <c r="AU169" s="64"/>
      <c r="AV169" s="64"/>
      <c r="AW169" s="64"/>
      <c r="AX169" s="64"/>
      <c r="AY169" s="64"/>
      <c r="AZ169" s="64"/>
      <c r="BA169" s="64" t="n">
        <f aca="false">AL169/SUM($AL169:$AQ169)</f>
        <v>0.0315422233618269</v>
      </c>
      <c r="BB169" s="64" t="n">
        <f aca="false">AM169/SUM($AL169:$AQ169)</f>
        <v>0.0279594572117512</v>
      </c>
      <c r="BC169" s="64" t="n">
        <f aca="false">AN169/SUM($AL169:$AQ169)</f>
        <v>0.0264961081574683</v>
      </c>
      <c r="BD169" s="64" t="n">
        <f aca="false">AO169/SUM($AL169:$AQ169)</f>
        <v>0.0520019900763889</v>
      </c>
      <c r="BE169" s="64" t="n">
        <f aca="false">AP169/SUM($AL169:$AQ169)</f>
        <v>0.72976549219661</v>
      </c>
      <c r="BF169" s="64" t="n">
        <f aca="false">AQ169/SUM($AL169:$AQ169)</f>
        <v>0.132234728995955</v>
      </c>
      <c r="BG169" s="65" t="e">
        <f aca="false">#N/A</f>
        <v>#N/A</v>
      </c>
      <c r="BH169" s="37" t="s">
        <v>393</v>
      </c>
      <c r="BI169" s="37" t="s">
        <v>463</v>
      </c>
      <c r="BJ169" s="37" t="s">
        <v>879</v>
      </c>
      <c r="BK169" s="40" t="s">
        <v>5</v>
      </c>
      <c r="BL169" s="40" t="s">
        <v>5</v>
      </c>
      <c r="BM169" s="37" t="s">
        <v>397</v>
      </c>
      <c r="BN169" s="37" t="s">
        <v>397</v>
      </c>
      <c r="BO169" s="37" t="s">
        <v>595</v>
      </c>
      <c r="BP169" s="37" t="s">
        <v>397</v>
      </c>
      <c r="BQ169" s="37" t="s">
        <v>397</v>
      </c>
      <c r="BR169" s="37" t="s">
        <v>405</v>
      </c>
      <c r="BS169" s="37" t="s">
        <v>405</v>
      </c>
      <c r="BT169" s="37" t="s">
        <v>880</v>
      </c>
      <c r="BU169" s="37" t="s">
        <v>466</v>
      </c>
      <c r="BV169" s="37" t="s">
        <v>881</v>
      </c>
      <c r="BW169" s="37" t="s">
        <v>881</v>
      </c>
    </row>
    <row r="170" customFormat="false" ht="14.9" hidden="false" customHeight="false" outlineLevel="0" collapsed="false">
      <c r="A170" s="37" t="s">
        <v>886</v>
      </c>
      <c r="B170" s="62" t="s">
        <v>214</v>
      </c>
      <c r="C170" s="37" t="s">
        <v>213</v>
      </c>
      <c r="D170" s="37" t="n">
        <f aca="false">INDEX(Strain_IDs!C:C,MATCH(Table1[[#This Row],[Strains]],Strain_IDs!D:D,0))</f>
        <v>16</v>
      </c>
      <c r="E170" s="37" t="s">
        <v>382</v>
      </c>
      <c r="F170" s="37" t="s">
        <v>20</v>
      </c>
      <c r="G170" s="37" t="s">
        <v>21</v>
      </c>
      <c r="H170" s="37" t="s">
        <v>28</v>
      </c>
      <c r="I170" s="37" t="s">
        <v>520</v>
      </c>
      <c r="J170" s="37" t="s">
        <v>709</v>
      </c>
      <c r="K170" s="37" t="s">
        <v>384</v>
      </c>
      <c r="L170" s="37" t="s">
        <v>20</v>
      </c>
      <c r="M170" s="37" t="s">
        <v>385</v>
      </c>
      <c r="N170" s="37" t="s">
        <v>27</v>
      </c>
      <c r="O170" s="37" t="s">
        <v>520</v>
      </c>
      <c r="P170" s="37" t="s">
        <v>709</v>
      </c>
      <c r="Q170" s="37" t="s">
        <v>702</v>
      </c>
      <c r="R170" s="37" t="s">
        <v>207</v>
      </c>
      <c r="S170" s="37" t="s">
        <v>208</v>
      </c>
      <c r="T170" s="37" t="s">
        <v>387</v>
      </c>
      <c r="U170" s="37"/>
      <c r="V170" s="37"/>
      <c r="W170" s="37" t="s">
        <v>887</v>
      </c>
      <c r="X170" s="37" t="n">
        <v>47</v>
      </c>
      <c r="Y170" s="37"/>
      <c r="Z170" s="37"/>
      <c r="AB170" s="37"/>
      <c r="AC170" s="37"/>
      <c r="AD170" s="37"/>
      <c r="AE170" s="37"/>
      <c r="AF170" s="37" t="s">
        <v>389</v>
      </c>
      <c r="AG170" s="62" t="s">
        <v>446</v>
      </c>
      <c r="AH170" s="52" t="s">
        <v>877</v>
      </c>
      <c r="AI170" s="62"/>
      <c r="AJ170" s="1" t="s">
        <v>878</v>
      </c>
      <c r="AK170" s="37" t="n">
        <f aca="false">SUM(Table1[[#This Row],[reported_1302]:[reported_1286_iso]])</f>
        <v>1</v>
      </c>
      <c r="AL170" s="64" t="n">
        <v>0.00263948682698136</v>
      </c>
      <c r="AM170" s="64" t="n">
        <v>0.00313795549274563</v>
      </c>
      <c r="AN170" s="64" t="n">
        <v>0.00386018079697568</v>
      </c>
      <c r="AO170" s="64" t="n">
        <v>0.0126624164484942</v>
      </c>
      <c r="AP170" s="64" t="n">
        <v>0.693758642691294</v>
      </c>
      <c r="AQ170" s="64" t="n">
        <v>0.165552707354349</v>
      </c>
      <c r="AR170" s="64" t="n">
        <v>0.11838861038916</v>
      </c>
      <c r="AS170" s="64"/>
      <c r="AT170" s="64"/>
      <c r="AU170" s="64"/>
      <c r="AV170" s="64"/>
      <c r="AW170" s="64"/>
      <c r="AX170" s="64"/>
      <c r="AY170" s="64"/>
      <c r="AZ170" s="64"/>
      <c r="BA170" s="64" t="n">
        <f aca="false">AL170/SUM($AL170:$AQ170)</f>
        <v>0.00299393458170553</v>
      </c>
      <c r="BB170" s="64" t="n">
        <f aca="false">AM170/SUM($AL170:$AQ170)</f>
        <v>0.00355934091791938</v>
      </c>
      <c r="BC170" s="64" t="n">
        <f aca="false">AN170/SUM($AL170:$AQ170)</f>
        <v>0.00437855141444989</v>
      </c>
      <c r="BD170" s="64" t="n">
        <f aca="false">AO170/SUM($AL170:$AQ170)</f>
        <v>0.0143628095073541</v>
      </c>
      <c r="BE170" s="64" t="n">
        <f aca="false">AP170/SUM($AL170:$AQ170)</f>
        <v>0.786921143336785</v>
      </c>
      <c r="BF170" s="64" t="n">
        <f aca="false">AQ170/SUM($AL170:$AQ170)</f>
        <v>0.187784220241786</v>
      </c>
      <c r="BG170" s="65" t="e">
        <f aca="false">#N/A</f>
        <v>#N/A</v>
      </c>
      <c r="BH170" s="37" t="s">
        <v>393</v>
      </c>
      <c r="BI170" s="37" t="s">
        <v>463</v>
      </c>
      <c r="BJ170" s="37" t="s">
        <v>879</v>
      </c>
      <c r="BK170" s="40" t="s">
        <v>5</v>
      </c>
      <c r="BL170" s="40" t="s">
        <v>5</v>
      </c>
      <c r="BM170" s="37" t="s">
        <v>397</v>
      </c>
      <c r="BN170" s="37" t="s">
        <v>397</v>
      </c>
      <c r="BO170" s="37" t="s">
        <v>595</v>
      </c>
      <c r="BP170" s="37" t="s">
        <v>397</v>
      </c>
      <c r="BQ170" s="37" t="s">
        <v>397</v>
      </c>
      <c r="BR170" s="37" t="s">
        <v>405</v>
      </c>
      <c r="BS170" s="37" t="s">
        <v>405</v>
      </c>
      <c r="BT170" s="37" t="s">
        <v>880</v>
      </c>
      <c r="BU170" s="37" t="s">
        <v>466</v>
      </c>
      <c r="BV170" s="37" t="s">
        <v>881</v>
      </c>
      <c r="BW170" s="37" t="s">
        <v>881</v>
      </c>
    </row>
    <row r="171" customFormat="false" ht="14.9" hidden="false" customHeight="false" outlineLevel="0" collapsed="false">
      <c r="A171" s="37" t="s">
        <v>888</v>
      </c>
      <c r="B171" s="62" t="s">
        <v>156</v>
      </c>
      <c r="C171" s="37" t="s">
        <v>700</v>
      </c>
      <c r="D171" s="37" t="n">
        <f aca="false">INDEX(Strain_IDs!C:C,MATCH(Table1[[#This Row],[Strains]],Strain_IDs!D:D,0))</f>
        <v>9</v>
      </c>
      <c r="E171" s="37" t="s">
        <v>382</v>
      </c>
      <c r="F171" s="37" t="s">
        <v>20</v>
      </c>
      <c r="G171" s="37" t="s">
        <v>21</v>
      </c>
      <c r="H171" s="37" t="s">
        <v>27</v>
      </c>
      <c r="I171" s="37" t="s">
        <v>686</v>
      </c>
      <c r="J171" s="37" t="s">
        <v>701</v>
      </c>
      <c r="K171" s="37" t="s">
        <v>384</v>
      </c>
      <c r="L171" s="37" t="s">
        <v>20</v>
      </c>
      <c r="M171" s="37" t="s">
        <v>385</v>
      </c>
      <c r="N171" s="37" t="s">
        <v>27</v>
      </c>
      <c r="O171" s="37" t="s">
        <v>686</v>
      </c>
      <c r="P171" s="37" t="s">
        <v>701</v>
      </c>
      <c r="Q171" s="37" t="s">
        <v>702</v>
      </c>
      <c r="R171" s="37" t="s">
        <v>62</v>
      </c>
      <c r="S171" s="37" t="s">
        <v>63</v>
      </c>
      <c r="T171" s="37" t="s">
        <v>387</v>
      </c>
      <c r="U171" s="37"/>
      <c r="V171" s="37"/>
      <c r="W171" s="37" t="s">
        <v>889</v>
      </c>
      <c r="X171" s="37" t="n">
        <v>20</v>
      </c>
      <c r="Y171" s="37"/>
      <c r="Z171" s="37"/>
      <c r="AB171" s="37"/>
      <c r="AC171" s="37"/>
      <c r="AD171" s="37"/>
      <c r="AE171" s="37"/>
      <c r="AF171" s="37" t="s">
        <v>389</v>
      </c>
      <c r="AG171" s="62" t="s">
        <v>446</v>
      </c>
      <c r="AH171" s="52" t="s">
        <v>877</v>
      </c>
      <c r="AI171" s="62"/>
      <c r="AJ171" s="1" t="s">
        <v>878</v>
      </c>
      <c r="AK171" s="37" t="n">
        <f aca="false">SUM(Table1[[#This Row],[reported_1302]:[reported_1286_iso]])</f>
        <v>1</v>
      </c>
      <c r="AL171" s="64" t="n">
        <v>0.180956780264808</v>
      </c>
      <c r="AM171" s="64" t="n">
        <v>0.199728320954813</v>
      </c>
      <c r="AN171" s="64" t="n">
        <v>0.135502368847285</v>
      </c>
      <c r="AO171" s="64" t="n">
        <v>0.0269325610224898</v>
      </c>
      <c r="AP171" s="64" t="n">
        <v>0.454031443867735</v>
      </c>
      <c r="AQ171" s="64" t="n">
        <v>0.00284852504287042</v>
      </c>
      <c r="AR171" s="64" t="n">
        <v>0</v>
      </c>
      <c r="AS171" s="64"/>
      <c r="AT171" s="64"/>
      <c r="AU171" s="64"/>
      <c r="AV171" s="64"/>
      <c r="AW171" s="64"/>
      <c r="AX171" s="64"/>
      <c r="AY171" s="64"/>
      <c r="AZ171" s="64"/>
      <c r="BA171" s="64" t="n">
        <f aca="false">AL171/SUM($AL171:$AQ171)</f>
        <v>0.180956780264808</v>
      </c>
      <c r="BB171" s="64" t="n">
        <f aca="false">AM171/SUM($AL171:$AQ171)</f>
        <v>0.199728320954813</v>
      </c>
      <c r="BC171" s="64" t="n">
        <f aca="false">AN171/SUM($AL171:$AQ171)</f>
        <v>0.135502368847285</v>
      </c>
      <c r="BD171" s="64" t="n">
        <f aca="false">AO171/SUM($AL171:$AQ171)</f>
        <v>0.0269325610224898</v>
      </c>
      <c r="BE171" s="64" t="n">
        <f aca="false">AP171/SUM($AL171:$AQ171)</f>
        <v>0.454031443867735</v>
      </c>
      <c r="BF171" s="64" t="n">
        <f aca="false">AQ171/SUM($AL171:$AQ171)</f>
        <v>0.00284852504287042</v>
      </c>
      <c r="BG171" s="65" t="e">
        <f aca="false">#N/A</f>
        <v>#N/A</v>
      </c>
      <c r="BH171" s="37" t="s">
        <v>393</v>
      </c>
      <c r="BI171" s="37" t="s">
        <v>463</v>
      </c>
      <c r="BJ171" s="37" t="s">
        <v>879</v>
      </c>
      <c r="BK171" s="40" t="s">
        <v>5</v>
      </c>
      <c r="BL171" s="40" t="s">
        <v>5</v>
      </c>
      <c r="BM171" s="37" t="s">
        <v>397</v>
      </c>
      <c r="BN171" s="37" t="s">
        <v>397</v>
      </c>
      <c r="BO171" s="37" t="s">
        <v>595</v>
      </c>
      <c r="BP171" s="37" t="s">
        <v>397</v>
      </c>
      <c r="BQ171" s="37" t="s">
        <v>397</v>
      </c>
      <c r="BR171" s="37" t="s">
        <v>405</v>
      </c>
      <c r="BS171" s="37" t="s">
        <v>405</v>
      </c>
      <c r="BT171" s="37" t="s">
        <v>880</v>
      </c>
      <c r="BU171" s="37" t="s">
        <v>466</v>
      </c>
      <c r="BV171" s="37" t="s">
        <v>881</v>
      </c>
      <c r="BW171" s="37" t="s">
        <v>881</v>
      </c>
    </row>
    <row r="172" customFormat="false" ht="14.9" hidden="false" customHeight="false" outlineLevel="0" collapsed="false">
      <c r="A172" s="37" t="s">
        <v>890</v>
      </c>
      <c r="B172" s="62" t="s">
        <v>156</v>
      </c>
      <c r="C172" s="37" t="s">
        <v>700</v>
      </c>
      <c r="D172" s="37" t="n">
        <f aca="false">INDEX(Strain_IDs!C:C,MATCH(Table1[[#This Row],[Strains]],Strain_IDs!D:D,0))</f>
        <v>9</v>
      </c>
      <c r="E172" s="37" t="s">
        <v>382</v>
      </c>
      <c r="F172" s="37" t="s">
        <v>20</v>
      </c>
      <c r="G172" s="37" t="s">
        <v>21</v>
      </c>
      <c r="H172" s="37" t="s">
        <v>27</v>
      </c>
      <c r="I172" s="37" t="s">
        <v>686</v>
      </c>
      <c r="J172" s="37" t="s">
        <v>701</v>
      </c>
      <c r="K172" s="37" t="s">
        <v>384</v>
      </c>
      <c r="L172" s="37" t="s">
        <v>20</v>
      </c>
      <c r="M172" s="37" t="s">
        <v>385</v>
      </c>
      <c r="N172" s="37" t="s">
        <v>27</v>
      </c>
      <c r="O172" s="37" t="s">
        <v>686</v>
      </c>
      <c r="P172" s="37" t="s">
        <v>701</v>
      </c>
      <c r="Q172" s="37" t="s">
        <v>702</v>
      </c>
      <c r="R172" s="37" t="s">
        <v>62</v>
      </c>
      <c r="S172" s="37" t="s">
        <v>63</v>
      </c>
      <c r="T172" s="37" t="s">
        <v>387</v>
      </c>
      <c r="U172" s="37"/>
      <c r="V172" s="37"/>
      <c r="W172" s="37" t="s">
        <v>891</v>
      </c>
      <c r="X172" s="37" t="n">
        <v>23</v>
      </c>
      <c r="Y172" s="37"/>
      <c r="Z172" s="37"/>
      <c r="AB172" s="37"/>
      <c r="AC172" s="37"/>
      <c r="AD172" s="37"/>
      <c r="AE172" s="37"/>
      <c r="AF172" s="37" t="s">
        <v>389</v>
      </c>
      <c r="AG172" s="62" t="s">
        <v>446</v>
      </c>
      <c r="AH172" s="52" t="s">
        <v>877</v>
      </c>
      <c r="AI172" s="62"/>
      <c r="AJ172" s="1" t="s">
        <v>878</v>
      </c>
      <c r="AK172" s="37" t="n">
        <f aca="false">SUM(Table1[[#This Row],[reported_1302]:[reported_1286_iso]])</f>
        <v>1</v>
      </c>
      <c r="AL172" s="64" t="n">
        <v>0.137989360708539</v>
      </c>
      <c r="AM172" s="64" t="n">
        <v>0.164472238241683</v>
      </c>
      <c r="AN172" s="64" t="n">
        <v>0.133302080785347</v>
      </c>
      <c r="AO172" s="64" t="n">
        <v>0.0238143841267373</v>
      </c>
      <c r="AP172" s="64" t="n">
        <v>0.534842904411954</v>
      </c>
      <c r="AQ172" s="64" t="n">
        <v>0.00557903172573946</v>
      </c>
      <c r="AR172" s="64" t="n">
        <v>0</v>
      </c>
      <c r="AS172" s="64"/>
      <c r="AT172" s="64"/>
      <c r="AU172" s="64"/>
      <c r="AV172" s="64"/>
      <c r="AW172" s="64"/>
      <c r="AX172" s="64"/>
      <c r="AY172" s="64"/>
      <c r="AZ172" s="64"/>
      <c r="BA172" s="64" t="n">
        <f aca="false">AL172/SUM($AL172:$AQ172)</f>
        <v>0.137989360708539</v>
      </c>
      <c r="BB172" s="64" t="n">
        <f aca="false">AM172/SUM($AL172:$AQ172)</f>
        <v>0.164472238241683</v>
      </c>
      <c r="BC172" s="64" t="n">
        <f aca="false">AN172/SUM($AL172:$AQ172)</f>
        <v>0.133302080785347</v>
      </c>
      <c r="BD172" s="64" t="n">
        <f aca="false">AO172/SUM($AL172:$AQ172)</f>
        <v>0.0238143841267373</v>
      </c>
      <c r="BE172" s="64" t="n">
        <f aca="false">AP172/SUM($AL172:$AQ172)</f>
        <v>0.534842904411954</v>
      </c>
      <c r="BF172" s="64" t="n">
        <f aca="false">AQ172/SUM($AL172:$AQ172)</f>
        <v>0.00557903172573946</v>
      </c>
      <c r="BG172" s="65" t="e">
        <f aca="false">#N/A</f>
        <v>#N/A</v>
      </c>
      <c r="BH172" s="37" t="s">
        <v>393</v>
      </c>
      <c r="BI172" s="37" t="s">
        <v>463</v>
      </c>
      <c r="BJ172" s="37" t="s">
        <v>879</v>
      </c>
      <c r="BK172" s="40" t="s">
        <v>5</v>
      </c>
      <c r="BL172" s="40" t="s">
        <v>5</v>
      </c>
      <c r="BM172" s="37" t="s">
        <v>397</v>
      </c>
      <c r="BN172" s="37" t="s">
        <v>397</v>
      </c>
      <c r="BO172" s="37" t="s">
        <v>595</v>
      </c>
      <c r="BP172" s="37" t="s">
        <v>397</v>
      </c>
      <c r="BQ172" s="37" t="s">
        <v>397</v>
      </c>
      <c r="BR172" s="37" t="s">
        <v>405</v>
      </c>
      <c r="BS172" s="37" t="s">
        <v>405</v>
      </c>
      <c r="BT172" s="37" t="s">
        <v>880</v>
      </c>
      <c r="BU172" s="37" t="s">
        <v>466</v>
      </c>
      <c r="BV172" s="37" t="s">
        <v>881</v>
      </c>
      <c r="BW172" s="37" t="s">
        <v>881</v>
      </c>
    </row>
    <row r="173" customFormat="false" ht="14.9" hidden="false" customHeight="false" outlineLevel="0" collapsed="false">
      <c r="A173" s="37" t="s">
        <v>892</v>
      </c>
      <c r="B173" s="62" t="s">
        <v>156</v>
      </c>
      <c r="C173" s="37" t="s">
        <v>700</v>
      </c>
      <c r="D173" s="37" t="n">
        <f aca="false">INDEX(Strain_IDs!C:C,MATCH(Table1[[#This Row],[Strains]],Strain_IDs!D:D,0))</f>
        <v>9</v>
      </c>
      <c r="E173" s="37" t="s">
        <v>382</v>
      </c>
      <c r="F173" s="37" t="s">
        <v>20</v>
      </c>
      <c r="G173" s="37" t="s">
        <v>21</v>
      </c>
      <c r="H173" s="37" t="s">
        <v>27</v>
      </c>
      <c r="I173" s="37" t="s">
        <v>686</v>
      </c>
      <c r="J173" s="37" t="s">
        <v>701</v>
      </c>
      <c r="K173" s="37" t="s">
        <v>384</v>
      </c>
      <c r="L173" s="37" t="s">
        <v>20</v>
      </c>
      <c r="M173" s="37" t="s">
        <v>385</v>
      </c>
      <c r="N173" s="37" t="s">
        <v>27</v>
      </c>
      <c r="O173" s="37" t="s">
        <v>686</v>
      </c>
      <c r="P173" s="37" t="s">
        <v>701</v>
      </c>
      <c r="Q173" s="37" t="s">
        <v>702</v>
      </c>
      <c r="R173" s="37" t="s">
        <v>62</v>
      </c>
      <c r="S173" s="37" t="s">
        <v>63</v>
      </c>
      <c r="T173" s="37" t="s">
        <v>387</v>
      </c>
      <c r="U173" s="37"/>
      <c r="V173" s="37"/>
      <c r="W173" s="37" t="s">
        <v>893</v>
      </c>
      <c r="X173" s="37" t="n">
        <v>25</v>
      </c>
      <c r="Y173" s="37"/>
      <c r="Z173" s="37"/>
      <c r="AB173" s="37"/>
      <c r="AC173" s="37"/>
      <c r="AD173" s="37"/>
      <c r="AE173" s="37"/>
      <c r="AF173" s="37" t="s">
        <v>389</v>
      </c>
      <c r="AG173" s="62" t="s">
        <v>446</v>
      </c>
      <c r="AH173" s="52" t="s">
        <v>877</v>
      </c>
      <c r="AI173" s="62"/>
      <c r="AJ173" s="1" t="s">
        <v>878</v>
      </c>
      <c r="AK173" s="37" t="n">
        <f aca="false">SUM(Table1[[#This Row],[reported_1302]:[reported_1286_iso]])</f>
        <v>1</v>
      </c>
      <c r="AL173" s="64" t="n">
        <v>0.0904016926032679</v>
      </c>
      <c r="AM173" s="64" t="n">
        <v>0.127243656682075</v>
      </c>
      <c r="AN173" s="64" t="n">
        <v>0.180303173977843</v>
      </c>
      <c r="AO173" s="64" t="n">
        <v>0.0327481370330143</v>
      </c>
      <c r="AP173" s="64" t="n">
        <v>0.563224021312562</v>
      </c>
      <c r="AQ173" s="64" t="n">
        <v>0.00607931839123843</v>
      </c>
      <c r="AR173" s="64" t="n">
        <v>0</v>
      </c>
      <c r="AS173" s="64"/>
      <c r="AT173" s="64"/>
      <c r="AU173" s="64"/>
      <c r="AV173" s="64"/>
      <c r="AW173" s="64"/>
      <c r="AX173" s="64"/>
      <c r="AY173" s="64"/>
      <c r="AZ173" s="64"/>
      <c r="BA173" s="64" t="n">
        <f aca="false">AL173/SUM($AL173:$AQ173)</f>
        <v>0.0904016926032678</v>
      </c>
      <c r="BB173" s="64" t="n">
        <f aca="false">AM173/SUM($AL173:$AQ173)</f>
        <v>0.127243656682075</v>
      </c>
      <c r="BC173" s="64" t="n">
        <f aca="false">AN173/SUM($AL173:$AQ173)</f>
        <v>0.180303173977843</v>
      </c>
      <c r="BD173" s="64" t="n">
        <f aca="false">AO173/SUM($AL173:$AQ173)</f>
        <v>0.0327481370330143</v>
      </c>
      <c r="BE173" s="64" t="n">
        <f aca="false">AP173/SUM($AL173:$AQ173)</f>
        <v>0.563224021312562</v>
      </c>
      <c r="BF173" s="64" t="n">
        <f aca="false">AQ173/SUM($AL173:$AQ173)</f>
        <v>0.00607931839123843</v>
      </c>
      <c r="BG173" s="65" t="e">
        <f aca="false">#N/A</f>
        <v>#N/A</v>
      </c>
      <c r="BH173" s="37" t="s">
        <v>393</v>
      </c>
      <c r="BI173" s="37" t="s">
        <v>463</v>
      </c>
      <c r="BJ173" s="37" t="s">
        <v>879</v>
      </c>
      <c r="BK173" s="40" t="s">
        <v>5</v>
      </c>
      <c r="BL173" s="40" t="s">
        <v>5</v>
      </c>
      <c r="BM173" s="37" t="s">
        <v>397</v>
      </c>
      <c r="BN173" s="37" t="s">
        <v>397</v>
      </c>
      <c r="BO173" s="37" t="s">
        <v>595</v>
      </c>
      <c r="BP173" s="37" t="s">
        <v>397</v>
      </c>
      <c r="BQ173" s="37" t="s">
        <v>397</v>
      </c>
      <c r="BR173" s="37" t="s">
        <v>405</v>
      </c>
      <c r="BS173" s="37" t="s">
        <v>405</v>
      </c>
      <c r="BT173" s="37" t="s">
        <v>880</v>
      </c>
      <c r="BU173" s="37" t="s">
        <v>466</v>
      </c>
      <c r="BV173" s="37" t="s">
        <v>881</v>
      </c>
      <c r="BW173" s="37" t="s">
        <v>881</v>
      </c>
    </row>
    <row r="174" customFormat="false" ht="14.9" hidden="false" customHeight="false" outlineLevel="0" collapsed="false">
      <c r="A174" s="37" t="s">
        <v>894</v>
      </c>
      <c r="B174" s="62" t="s">
        <v>156</v>
      </c>
      <c r="C174" s="37" t="s">
        <v>700</v>
      </c>
      <c r="D174" s="37" t="n">
        <f aca="false">INDEX(Strain_IDs!C:C,MATCH(Table1[[#This Row],[Strains]],Strain_IDs!D:D,0))</f>
        <v>9</v>
      </c>
      <c r="E174" s="37" t="s">
        <v>382</v>
      </c>
      <c r="F174" s="37" t="s">
        <v>20</v>
      </c>
      <c r="G174" s="37" t="s">
        <v>21</v>
      </c>
      <c r="H174" s="37" t="s">
        <v>27</v>
      </c>
      <c r="I174" s="37" t="s">
        <v>686</v>
      </c>
      <c r="J174" s="37" t="s">
        <v>701</v>
      </c>
      <c r="K174" s="37" t="s">
        <v>384</v>
      </c>
      <c r="L174" s="37" t="s">
        <v>20</v>
      </c>
      <c r="M174" s="37" t="s">
        <v>385</v>
      </c>
      <c r="N174" s="37" t="s">
        <v>27</v>
      </c>
      <c r="O174" s="37" t="s">
        <v>686</v>
      </c>
      <c r="P174" s="37" t="s">
        <v>701</v>
      </c>
      <c r="Q174" s="37" t="s">
        <v>702</v>
      </c>
      <c r="R174" s="37" t="s">
        <v>62</v>
      </c>
      <c r="S174" s="37" t="s">
        <v>63</v>
      </c>
      <c r="T174" s="37" t="s">
        <v>387</v>
      </c>
      <c r="U174" s="37"/>
      <c r="V174" s="37"/>
      <c r="W174" s="37" t="s">
        <v>895</v>
      </c>
      <c r="X174" s="37" t="n">
        <v>29</v>
      </c>
      <c r="Y174" s="37"/>
      <c r="Z174" s="37"/>
      <c r="AB174" s="37"/>
      <c r="AC174" s="37"/>
      <c r="AD174" s="37"/>
      <c r="AE174" s="37"/>
      <c r="AF174" s="37" t="s">
        <v>389</v>
      </c>
      <c r="AG174" s="62" t="s">
        <v>446</v>
      </c>
      <c r="AH174" s="52" t="s">
        <v>877</v>
      </c>
      <c r="AI174" s="62"/>
      <c r="AJ174" s="1" t="s">
        <v>878</v>
      </c>
      <c r="AK174" s="37" t="n">
        <f aca="false">SUM(Table1[[#This Row],[reported_1302]:[reported_1286_iso]])</f>
        <v>1</v>
      </c>
      <c r="AL174" s="64" t="n">
        <v>0.0503399679097273</v>
      </c>
      <c r="AM174" s="64" t="n">
        <v>0.0730112414736814</v>
      </c>
      <c r="AN174" s="64" t="n">
        <v>0.168075053703548</v>
      </c>
      <c r="AO174" s="64" t="n">
        <v>0.0323209839061975</v>
      </c>
      <c r="AP174" s="64" t="n">
        <v>0.661357558508973</v>
      </c>
      <c r="AQ174" s="64" t="n">
        <v>0.014895194497873</v>
      </c>
      <c r="AR174" s="64" t="n">
        <v>0</v>
      </c>
      <c r="AS174" s="64"/>
      <c r="AT174" s="64"/>
      <c r="AU174" s="64"/>
      <c r="AV174" s="64"/>
      <c r="AW174" s="64"/>
      <c r="AX174" s="64"/>
      <c r="AY174" s="64"/>
      <c r="AZ174" s="64"/>
      <c r="BA174" s="64" t="n">
        <f aca="false">AL174/SUM($AL174:$AQ174)</f>
        <v>0.0503399679097273</v>
      </c>
      <c r="BB174" s="64" t="n">
        <f aca="false">AM174/SUM($AL174:$AQ174)</f>
        <v>0.0730112414736814</v>
      </c>
      <c r="BC174" s="64" t="n">
        <f aca="false">AN174/SUM($AL174:$AQ174)</f>
        <v>0.168075053703548</v>
      </c>
      <c r="BD174" s="64" t="n">
        <f aca="false">AO174/SUM($AL174:$AQ174)</f>
        <v>0.0323209839061975</v>
      </c>
      <c r="BE174" s="64" t="n">
        <f aca="false">AP174/SUM($AL174:$AQ174)</f>
        <v>0.661357558508973</v>
      </c>
      <c r="BF174" s="64" t="n">
        <f aca="false">AQ174/SUM($AL174:$AQ174)</f>
        <v>0.014895194497873</v>
      </c>
      <c r="BG174" s="65" t="e">
        <f aca="false">#N/A</f>
        <v>#N/A</v>
      </c>
      <c r="BH174" s="37" t="s">
        <v>393</v>
      </c>
      <c r="BI174" s="37" t="s">
        <v>463</v>
      </c>
      <c r="BJ174" s="37" t="s">
        <v>879</v>
      </c>
      <c r="BK174" s="40" t="s">
        <v>5</v>
      </c>
      <c r="BL174" s="40" t="s">
        <v>5</v>
      </c>
      <c r="BM174" s="37" t="s">
        <v>397</v>
      </c>
      <c r="BN174" s="37" t="s">
        <v>397</v>
      </c>
      <c r="BO174" s="37" t="s">
        <v>595</v>
      </c>
      <c r="BP174" s="37" t="s">
        <v>397</v>
      </c>
      <c r="BQ174" s="37" t="s">
        <v>397</v>
      </c>
      <c r="BR174" s="37" t="s">
        <v>405</v>
      </c>
      <c r="BS174" s="37" t="s">
        <v>405</v>
      </c>
      <c r="BT174" s="37" t="s">
        <v>880</v>
      </c>
      <c r="BU174" s="37" t="s">
        <v>466</v>
      </c>
      <c r="BV174" s="37" t="s">
        <v>881</v>
      </c>
      <c r="BW174" s="37" t="s">
        <v>881</v>
      </c>
    </row>
    <row r="175" customFormat="false" ht="14.9" hidden="false" customHeight="false" outlineLevel="0" collapsed="false">
      <c r="A175" s="37" t="s">
        <v>896</v>
      </c>
      <c r="B175" s="62" t="s">
        <v>156</v>
      </c>
      <c r="C175" s="37" t="s">
        <v>700</v>
      </c>
      <c r="D175" s="37" t="n">
        <f aca="false">INDEX(Strain_IDs!C:C,MATCH(Table1[[#This Row],[Strains]],Strain_IDs!D:D,0))</f>
        <v>9</v>
      </c>
      <c r="E175" s="37" t="s">
        <v>382</v>
      </c>
      <c r="F175" s="37" t="s">
        <v>20</v>
      </c>
      <c r="G175" s="37" t="s">
        <v>21</v>
      </c>
      <c r="H175" s="37" t="s">
        <v>27</v>
      </c>
      <c r="I175" s="37" t="s">
        <v>686</v>
      </c>
      <c r="J175" s="37" t="s">
        <v>701</v>
      </c>
      <c r="K175" s="37" t="s">
        <v>384</v>
      </c>
      <c r="L175" s="37" t="s">
        <v>20</v>
      </c>
      <c r="M175" s="37" t="s">
        <v>385</v>
      </c>
      <c r="N175" s="37" t="s">
        <v>27</v>
      </c>
      <c r="O175" s="37" t="s">
        <v>686</v>
      </c>
      <c r="P175" s="37" t="s">
        <v>701</v>
      </c>
      <c r="Q175" s="37" t="s">
        <v>702</v>
      </c>
      <c r="R175" s="37" t="s">
        <v>62</v>
      </c>
      <c r="S175" s="37" t="s">
        <v>63</v>
      </c>
      <c r="T175" s="37" t="s">
        <v>387</v>
      </c>
      <c r="U175" s="37"/>
      <c r="V175" s="37"/>
      <c r="W175" s="37" t="s">
        <v>897</v>
      </c>
      <c r="X175" s="37" t="n">
        <v>32</v>
      </c>
      <c r="Y175" s="37"/>
      <c r="Z175" s="37"/>
      <c r="AB175" s="37"/>
      <c r="AC175" s="37"/>
      <c r="AD175" s="37"/>
      <c r="AE175" s="37"/>
      <c r="AF175" s="37" t="s">
        <v>389</v>
      </c>
      <c r="AG175" s="62" t="s">
        <v>446</v>
      </c>
      <c r="AH175" s="52" t="s">
        <v>877</v>
      </c>
      <c r="AI175" s="62"/>
      <c r="AJ175" s="1" t="s">
        <v>878</v>
      </c>
      <c r="AK175" s="37" t="n">
        <f aca="false">SUM(Table1[[#This Row],[reported_1302]:[reported_1286_iso]])</f>
        <v>1</v>
      </c>
      <c r="AL175" s="64" t="n">
        <v>0.0960564048139003</v>
      </c>
      <c r="AM175" s="64" t="n">
        <v>0.108269850286558</v>
      </c>
      <c r="AN175" s="64" t="n">
        <v>0.153079000236393</v>
      </c>
      <c r="AO175" s="64" t="n">
        <v>0.0324967148172429</v>
      </c>
      <c r="AP175" s="64" t="n">
        <v>0.599388216966824</v>
      </c>
      <c r="AQ175" s="64" t="n">
        <v>0.0107098128790818</v>
      </c>
      <c r="AR175" s="64" t="n">
        <v>0</v>
      </c>
      <c r="AS175" s="64"/>
      <c r="AT175" s="64"/>
      <c r="AU175" s="64"/>
      <c r="AV175" s="64"/>
      <c r="AW175" s="64"/>
      <c r="AX175" s="64"/>
      <c r="AY175" s="64"/>
      <c r="AZ175" s="64"/>
      <c r="BA175" s="64" t="n">
        <f aca="false">AL175/SUM($AL175:$AQ175)</f>
        <v>0.0960564048139003</v>
      </c>
      <c r="BB175" s="64" t="n">
        <f aca="false">AM175/SUM($AL175:$AQ175)</f>
        <v>0.108269850286558</v>
      </c>
      <c r="BC175" s="64" t="n">
        <f aca="false">AN175/SUM($AL175:$AQ175)</f>
        <v>0.153079000236393</v>
      </c>
      <c r="BD175" s="64" t="n">
        <f aca="false">AO175/SUM($AL175:$AQ175)</f>
        <v>0.0324967148172429</v>
      </c>
      <c r="BE175" s="64" t="n">
        <f aca="false">AP175/SUM($AL175:$AQ175)</f>
        <v>0.599388216966824</v>
      </c>
      <c r="BF175" s="64" t="n">
        <f aca="false">AQ175/SUM($AL175:$AQ175)</f>
        <v>0.0107098128790818</v>
      </c>
      <c r="BG175" s="65" t="e">
        <f aca="false">#N/A</f>
        <v>#N/A</v>
      </c>
      <c r="BH175" s="37" t="s">
        <v>393</v>
      </c>
      <c r="BI175" s="37" t="s">
        <v>463</v>
      </c>
      <c r="BJ175" s="37" t="s">
        <v>879</v>
      </c>
      <c r="BK175" s="40" t="s">
        <v>5</v>
      </c>
      <c r="BL175" s="40" t="s">
        <v>5</v>
      </c>
      <c r="BM175" s="37" t="s">
        <v>397</v>
      </c>
      <c r="BN175" s="37" t="s">
        <v>397</v>
      </c>
      <c r="BO175" s="37" t="s">
        <v>595</v>
      </c>
      <c r="BP175" s="37" t="s">
        <v>397</v>
      </c>
      <c r="BQ175" s="37" t="s">
        <v>397</v>
      </c>
      <c r="BR175" s="37" t="s">
        <v>405</v>
      </c>
      <c r="BS175" s="37" t="s">
        <v>405</v>
      </c>
      <c r="BT175" s="37" t="s">
        <v>880</v>
      </c>
      <c r="BU175" s="37" t="s">
        <v>466</v>
      </c>
      <c r="BV175" s="37" t="s">
        <v>881</v>
      </c>
      <c r="BW175" s="37" t="s">
        <v>881</v>
      </c>
    </row>
    <row r="176" customFormat="false" ht="14.9" hidden="false" customHeight="false" outlineLevel="0" collapsed="false">
      <c r="A176" s="37" t="s">
        <v>898</v>
      </c>
      <c r="B176" s="62" t="s">
        <v>144</v>
      </c>
      <c r="C176" s="37" t="s">
        <v>143</v>
      </c>
      <c r="D176" s="37" t="n">
        <f aca="false">INDEX(Strain_IDs!C:C,MATCH(Table1[[#This Row],[Strains]],Strain_IDs!D:D,0))</f>
        <v>8</v>
      </c>
      <c r="E176" s="37" t="s">
        <v>382</v>
      </c>
      <c r="F176" s="37" t="s">
        <v>20</v>
      </c>
      <c r="G176" s="37" t="s">
        <v>21</v>
      </c>
      <c r="H176" s="37" t="s">
        <v>27</v>
      </c>
      <c r="I176" s="37" t="s">
        <v>455</v>
      </c>
      <c r="J176" s="37" t="s">
        <v>497</v>
      </c>
      <c r="K176" s="37" t="s">
        <v>384</v>
      </c>
      <c r="L176" s="37" t="s">
        <v>20</v>
      </c>
      <c r="M176" s="37" t="s">
        <v>385</v>
      </c>
      <c r="N176" s="37" t="s">
        <v>27</v>
      </c>
      <c r="O176" s="37" t="s">
        <v>455</v>
      </c>
      <c r="P176" s="37" t="s">
        <v>497</v>
      </c>
      <c r="Q176" s="37" t="s">
        <v>456</v>
      </c>
      <c r="R176" s="37" t="s">
        <v>62</v>
      </c>
      <c r="S176" s="37" t="s">
        <v>63</v>
      </c>
      <c r="T176" s="37" t="s">
        <v>387</v>
      </c>
      <c r="U176" s="37" t="s">
        <v>488</v>
      </c>
      <c r="V176" s="37" t="s">
        <v>489</v>
      </c>
      <c r="W176" s="37" t="s">
        <v>899</v>
      </c>
      <c r="X176" s="37" t="n">
        <v>18</v>
      </c>
      <c r="Y176" s="37"/>
      <c r="Z176" s="37"/>
      <c r="AB176" s="37"/>
      <c r="AC176" s="37"/>
      <c r="AD176" s="37"/>
      <c r="AE176" s="37"/>
      <c r="AF176" s="37" t="s">
        <v>389</v>
      </c>
      <c r="AG176" s="62" t="s">
        <v>446</v>
      </c>
      <c r="AH176" s="52" t="s">
        <v>877</v>
      </c>
      <c r="AI176" s="62"/>
      <c r="AJ176" s="1" t="s">
        <v>878</v>
      </c>
      <c r="AK176" s="37" t="n">
        <f aca="false">SUM(Table1[[#This Row],[reported_1302]:[reported_1286_iso]])</f>
        <v>1</v>
      </c>
      <c r="AL176" s="64" t="n">
        <v>0.353211590422786</v>
      </c>
      <c r="AM176" s="64" t="n">
        <v>0.126386708889941</v>
      </c>
      <c r="AN176" s="64" t="n">
        <v>0.0503652374005158</v>
      </c>
      <c r="AO176" s="64" t="n">
        <v>0.0394549225742002</v>
      </c>
      <c r="AP176" s="64" t="n">
        <v>0.428238197467388</v>
      </c>
      <c r="AQ176" s="64" t="n">
        <v>0.00234334324517002</v>
      </c>
      <c r="AR176" s="64" t="n">
        <v>0</v>
      </c>
      <c r="AS176" s="64"/>
      <c r="AT176" s="64"/>
      <c r="AU176" s="64"/>
      <c r="AV176" s="64"/>
      <c r="AW176" s="64"/>
      <c r="AX176" s="64"/>
      <c r="AY176" s="64"/>
      <c r="AZ176" s="64"/>
      <c r="BA176" s="64" t="n">
        <f aca="false">AL176/SUM($AL176:$AQ176)</f>
        <v>0.353211590422786</v>
      </c>
      <c r="BB176" s="64" t="n">
        <f aca="false">AM176/SUM($AL176:$AQ176)</f>
        <v>0.126386708889941</v>
      </c>
      <c r="BC176" s="64" t="n">
        <f aca="false">AN176/SUM($AL176:$AQ176)</f>
        <v>0.0503652374005157</v>
      </c>
      <c r="BD176" s="64" t="n">
        <f aca="false">AO176/SUM($AL176:$AQ176)</f>
        <v>0.0394549225742002</v>
      </c>
      <c r="BE176" s="64" t="n">
        <f aca="false">AP176/SUM($AL176:$AQ176)</f>
        <v>0.428238197467388</v>
      </c>
      <c r="BF176" s="64" t="n">
        <f aca="false">AQ176/SUM($AL176:$AQ176)</f>
        <v>0.00234334324517002</v>
      </c>
      <c r="BG176" s="65" t="e">
        <f aca="false">#N/A</f>
        <v>#N/A</v>
      </c>
      <c r="BH176" s="37" t="s">
        <v>393</v>
      </c>
      <c r="BI176" s="37" t="s">
        <v>463</v>
      </c>
      <c r="BJ176" s="37" t="s">
        <v>879</v>
      </c>
      <c r="BK176" s="40" t="s">
        <v>5</v>
      </c>
      <c r="BL176" s="40" t="s">
        <v>5</v>
      </c>
      <c r="BM176" s="37" t="s">
        <v>397</v>
      </c>
      <c r="BN176" s="37" t="s">
        <v>397</v>
      </c>
      <c r="BO176" s="37" t="s">
        <v>595</v>
      </c>
      <c r="BP176" s="37" t="s">
        <v>397</v>
      </c>
      <c r="BQ176" s="37" t="s">
        <v>397</v>
      </c>
      <c r="BR176" s="37" t="s">
        <v>405</v>
      </c>
      <c r="BS176" s="37" t="s">
        <v>405</v>
      </c>
      <c r="BT176" s="37" t="s">
        <v>880</v>
      </c>
      <c r="BU176" s="37" t="s">
        <v>466</v>
      </c>
      <c r="BV176" s="37" t="s">
        <v>881</v>
      </c>
      <c r="BW176" s="37" t="s">
        <v>881</v>
      </c>
    </row>
    <row r="177" customFormat="false" ht="14.9" hidden="false" customHeight="false" outlineLevel="0" collapsed="false">
      <c r="A177" s="37" t="s">
        <v>900</v>
      </c>
      <c r="B177" s="62" t="s">
        <v>144</v>
      </c>
      <c r="C177" s="37" t="s">
        <v>143</v>
      </c>
      <c r="D177" s="37" t="n">
        <f aca="false">INDEX(Strain_IDs!C:C,MATCH(Table1[[#This Row],[Strains]],Strain_IDs!D:D,0))</f>
        <v>8</v>
      </c>
      <c r="E177" s="37" t="s">
        <v>382</v>
      </c>
      <c r="F177" s="37" t="s">
        <v>20</v>
      </c>
      <c r="G177" s="37" t="s">
        <v>21</v>
      </c>
      <c r="H177" s="37" t="s">
        <v>27</v>
      </c>
      <c r="I177" s="37" t="s">
        <v>455</v>
      </c>
      <c r="J177" s="37" t="s">
        <v>497</v>
      </c>
      <c r="K177" s="37" t="s">
        <v>384</v>
      </c>
      <c r="L177" s="37" t="s">
        <v>20</v>
      </c>
      <c r="M177" s="37" t="s">
        <v>385</v>
      </c>
      <c r="N177" s="37" t="s">
        <v>27</v>
      </c>
      <c r="O177" s="37" t="s">
        <v>455</v>
      </c>
      <c r="P177" s="37" t="s">
        <v>497</v>
      </c>
      <c r="Q177" s="37" t="s">
        <v>456</v>
      </c>
      <c r="R177" s="37" t="s">
        <v>62</v>
      </c>
      <c r="S177" s="37" t="s">
        <v>63</v>
      </c>
      <c r="T177" s="37" t="s">
        <v>387</v>
      </c>
      <c r="U177" s="37" t="s">
        <v>488</v>
      </c>
      <c r="V177" s="37" t="s">
        <v>489</v>
      </c>
      <c r="W177" s="37" t="s">
        <v>901</v>
      </c>
      <c r="X177" s="37" t="n">
        <v>23</v>
      </c>
      <c r="Y177" s="37"/>
      <c r="Z177" s="37"/>
      <c r="AB177" s="37"/>
      <c r="AC177" s="37"/>
      <c r="AD177" s="37"/>
      <c r="AE177" s="37"/>
      <c r="AF177" s="37" t="s">
        <v>389</v>
      </c>
      <c r="AG177" s="62" t="s">
        <v>446</v>
      </c>
      <c r="AH177" s="52" t="s">
        <v>877</v>
      </c>
      <c r="AI177" s="62"/>
      <c r="AJ177" s="1" t="s">
        <v>878</v>
      </c>
      <c r="AK177" s="37" t="n">
        <f aca="false">SUM(Table1[[#This Row],[reported_1302]:[reported_1286_iso]])</f>
        <v>1</v>
      </c>
      <c r="AL177" s="64" t="n">
        <v>0.259757471788775</v>
      </c>
      <c r="AM177" s="64" t="n">
        <v>0.132811792325685</v>
      </c>
      <c r="AN177" s="64" t="n">
        <v>0.0621449691540855</v>
      </c>
      <c r="AO177" s="64" t="n">
        <v>0.0400965513427551</v>
      </c>
      <c r="AP177" s="64" t="n">
        <v>0.501219403861513</v>
      </c>
      <c r="AQ177" s="64" t="n">
        <v>0.00396981152718629</v>
      </c>
      <c r="AR177" s="64" t="n">
        <v>0</v>
      </c>
      <c r="AS177" s="64"/>
      <c r="AT177" s="64"/>
      <c r="AU177" s="64"/>
      <c r="AV177" s="64"/>
      <c r="AW177" s="64"/>
      <c r="AX177" s="64"/>
      <c r="AY177" s="64"/>
      <c r="AZ177" s="64"/>
      <c r="BA177" s="64" t="n">
        <f aca="false">AL177/SUM($AL177:$AQ177)</f>
        <v>0.259757471788775</v>
      </c>
      <c r="BB177" s="64" t="n">
        <f aca="false">AM177/SUM($AL177:$AQ177)</f>
        <v>0.132811792325685</v>
      </c>
      <c r="BC177" s="64" t="n">
        <f aca="false">AN177/SUM($AL177:$AQ177)</f>
        <v>0.0621449691540855</v>
      </c>
      <c r="BD177" s="64" t="n">
        <f aca="false">AO177/SUM($AL177:$AQ177)</f>
        <v>0.0400965513427551</v>
      </c>
      <c r="BE177" s="64" t="n">
        <f aca="false">AP177/SUM($AL177:$AQ177)</f>
        <v>0.501219403861513</v>
      </c>
      <c r="BF177" s="64" t="n">
        <f aca="false">AQ177/SUM($AL177:$AQ177)</f>
        <v>0.00396981152718629</v>
      </c>
      <c r="BG177" s="65" t="e">
        <f aca="false">#N/A</f>
        <v>#N/A</v>
      </c>
      <c r="BH177" s="37" t="s">
        <v>393</v>
      </c>
      <c r="BI177" s="37" t="s">
        <v>463</v>
      </c>
      <c r="BJ177" s="37" t="s">
        <v>879</v>
      </c>
      <c r="BK177" s="40" t="s">
        <v>5</v>
      </c>
      <c r="BL177" s="40" t="s">
        <v>5</v>
      </c>
      <c r="BM177" s="37" t="s">
        <v>397</v>
      </c>
      <c r="BN177" s="37" t="s">
        <v>397</v>
      </c>
      <c r="BO177" s="37" t="s">
        <v>595</v>
      </c>
      <c r="BP177" s="37" t="s">
        <v>397</v>
      </c>
      <c r="BQ177" s="37" t="s">
        <v>397</v>
      </c>
      <c r="BR177" s="37" t="s">
        <v>405</v>
      </c>
      <c r="BS177" s="37" t="s">
        <v>405</v>
      </c>
      <c r="BT177" s="37" t="s">
        <v>880</v>
      </c>
      <c r="BU177" s="37" t="s">
        <v>466</v>
      </c>
      <c r="BV177" s="37" t="s">
        <v>881</v>
      </c>
      <c r="BW177" s="37" t="s">
        <v>881</v>
      </c>
    </row>
    <row r="178" customFormat="false" ht="14.9" hidden="false" customHeight="false" outlineLevel="0" collapsed="false">
      <c r="A178" s="37" t="s">
        <v>902</v>
      </c>
      <c r="B178" s="62" t="s">
        <v>144</v>
      </c>
      <c r="C178" s="37" t="s">
        <v>143</v>
      </c>
      <c r="D178" s="37" t="n">
        <f aca="false">INDEX(Strain_IDs!C:C,MATCH(Table1[[#This Row],[Strains]],Strain_IDs!D:D,0))</f>
        <v>8</v>
      </c>
      <c r="E178" s="37" t="s">
        <v>382</v>
      </c>
      <c r="F178" s="37" t="s">
        <v>20</v>
      </c>
      <c r="G178" s="37" t="s">
        <v>21</v>
      </c>
      <c r="H178" s="37" t="s">
        <v>27</v>
      </c>
      <c r="I178" s="37" t="s">
        <v>455</v>
      </c>
      <c r="J178" s="37" t="s">
        <v>497</v>
      </c>
      <c r="K178" s="37" t="s">
        <v>384</v>
      </c>
      <c r="L178" s="37" t="s">
        <v>20</v>
      </c>
      <c r="M178" s="37" t="s">
        <v>385</v>
      </c>
      <c r="N178" s="37" t="s">
        <v>27</v>
      </c>
      <c r="O178" s="37" t="s">
        <v>455</v>
      </c>
      <c r="P178" s="37" t="s">
        <v>497</v>
      </c>
      <c r="Q178" s="37" t="s">
        <v>456</v>
      </c>
      <c r="R178" s="37" t="s">
        <v>62</v>
      </c>
      <c r="S178" s="37" t="s">
        <v>63</v>
      </c>
      <c r="T178" s="37" t="s">
        <v>387</v>
      </c>
      <c r="U178" s="37" t="s">
        <v>488</v>
      </c>
      <c r="V178" s="37" t="s">
        <v>489</v>
      </c>
      <c r="W178" s="37" t="s">
        <v>903</v>
      </c>
      <c r="X178" s="37" t="n">
        <v>28</v>
      </c>
      <c r="Y178" s="37"/>
      <c r="Z178" s="37"/>
      <c r="AB178" s="37"/>
      <c r="AC178" s="37"/>
      <c r="AD178" s="37"/>
      <c r="AE178" s="37"/>
      <c r="AF178" s="37" t="s">
        <v>389</v>
      </c>
      <c r="AG178" s="62" t="s">
        <v>446</v>
      </c>
      <c r="AH178" s="52" t="s">
        <v>877</v>
      </c>
      <c r="AI178" s="62"/>
      <c r="AJ178" s="1" t="s">
        <v>878</v>
      </c>
      <c r="AK178" s="37" t="n">
        <f aca="false">SUM(Table1[[#This Row],[reported_1302]:[reported_1286_iso]])</f>
        <v>1</v>
      </c>
      <c r="AL178" s="64" t="n">
        <v>0.160304967570937</v>
      </c>
      <c r="AM178" s="64" t="n">
        <v>0.118272341703722</v>
      </c>
      <c r="AN178" s="64" t="n">
        <v>0.0787746921634775</v>
      </c>
      <c r="AO178" s="64" t="n">
        <v>0.0404649548978106</v>
      </c>
      <c r="AP178" s="64" t="n">
        <v>0.596275117453373</v>
      </c>
      <c r="AQ178" s="64" t="n">
        <v>0.00590792621067985</v>
      </c>
      <c r="AR178" s="64" t="n">
        <v>0</v>
      </c>
      <c r="AS178" s="64"/>
      <c r="AT178" s="64"/>
      <c r="AU178" s="64"/>
      <c r="AV178" s="64"/>
      <c r="AW178" s="64"/>
      <c r="AX178" s="64"/>
      <c r="AY178" s="64"/>
      <c r="AZ178" s="64"/>
      <c r="BA178" s="64" t="n">
        <f aca="false">AL178/SUM($AL178:$AQ178)</f>
        <v>0.160304967570937</v>
      </c>
      <c r="BB178" s="64" t="n">
        <f aca="false">AM178/SUM($AL178:$AQ178)</f>
        <v>0.118272341703722</v>
      </c>
      <c r="BC178" s="64" t="n">
        <f aca="false">AN178/SUM($AL178:$AQ178)</f>
        <v>0.0787746921634775</v>
      </c>
      <c r="BD178" s="64" t="n">
        <f aca="false">AO178/SUM($AL178:$AQ178)</f>
        <v>0.0404649548978106</v>
      </c>
      <c r="BE178" s="64" t="n">
        <f aca="false">AP178/SUM($AL178:$AQ178)</f>
        <v>0.596275117453373</v>
      </c>
      <c r="BF178" s="64" t="n">
        <f aca="false">AQ178/SUM($AL178:$AQ178)</f>
        <v>0.00590792621067985</v>
      </c>
      <c r="BG178" s="65" t="e">
        <f aca="false">#N/A</f>
        <v>#N/A</v>
      </c>
      <c r="BH178" s="37" t="s">
        <v>393</v>
      </c>
      <c r="BI178" s="37" t="s">
        <v>463</v>
      </c>
      <c r="BJ178" s="37" t="s">
        <v>879</v>
      </c>
      <c r="BK178" s="40" t="s">
        <v>5</v>
      </c>
      <c r="BL178" s="40" t="s">
        <v>5</v>
      </c>
      <c r="BM178" s="37" t="s">
        <v>397</v>
      </c>
      <c r="BN178" s="37" t="s">
        <v>397</v>
      </c>
      <c r="BO178" s="37" t="s">
        <v>595</v>
      </c>
      <c r="BP178" s="37" t="s">
        <v>397</v>
      </c>
      <c r="BQ178" s="37" t="s">
        <v>397</v>
      </c>
      <c r="BR178" s="37" t="s">
        <v>405</v>
      </c>
      <c r="BS178" s="37" t="s">
        <v>405</v>
      </c>
      <c r="BT178" s="37" t="s">
        <v>880</v>
      </c>
      <c r="BU178" s="37" t="s">
        <v>466</v>
      </c>
      <c r="BV178" s="37" t="s">
        <v>881</v>
      </c>
      <c r="BW178" s="37" t="s">
        <v>881</v>
      </c>
    </row>
    <row r="179" customFormat="false" ht="14.9" hidden="false" customHeight="false" outlineLevel="0" collapsed="false">
      <c r="A179" s="37" t="s">
        <v>904</v>
      </c>
      <c r="B179" s="62" t="s">
        <v>144</v>
      </c>
      <c r="C179" s="37" t="s">
        <v>143</v>
      </c>
      <c r="D179" s="37" t="n">
        <f aca="false">INDEX(Strain_IDs!C:C,MATCH(Table1[[#This Row],[Strains]],Strain_IDs!D:D,0))</f>
        <v>8</v>
      </c>
      <c r="E179" s="37" t="s">
        <v>382</v>
      </c>
      <c r="F179" s="37" t="s">
        <v>20</v>
      </c>
      <c r="G179" s="37" t="s">
        <v>21</v>
      </c>
      <c r="H179" s="37" t="s">
        <v>27</v>
      </c>
      <c r="I179" s="37" t="s">
        <v>455</v>
      </c>
      <c r="J179" s="37" t="s">
        <v>497</v>
      </c>
      <c r="K179" s="37" t="s">
        <v>384</v>
      </c>
      <c r="L179" s="37" t="s">
        <v>20</v>
      </c>
      <c r="M179" s="37" t="s">
        <v>385</v>
      </c>
      <c r="N179" s="37" t="s">
        <v>27</v>
      </c>
      <c r="O179" s="37" t="s">
        <v>455</v>
      </c>
      <c r="P179" s="37" t="s">
        <v>497</v>
      </c>
      <c r="Q179" s="37" t="s">
        <v>456</v>
      </c>
      <c r="R179" s="37" t="s">
        <v>62</v>
      </c>
      <c r="S179" s="37" t="s">
        <v>63</v>
      </c>
      <c r="T179" s="37" t="s">
        <v>387</v>
      </c>
      <c r="U179" s="37" t="s">
        <v>488</v>
      </c>
      <c r="V179" s="37" t="s">
        <v>489</v>
      </c>
      <c r="W179" s="37" t="s">
        <v>905</v>
      </c>
      <c r="X179" s="37" t="n">
        <v>32</v>
      </c>
      <c r="Y179" s="37"/>
      <c r="Z179" s="37"/>
      <c r="AB179" s="37"/>
      <c r="AC179" s="37"/>
      <c r="AD179" s="37"/>
      <c r="AE179" s="37"/>
      <c r="AF179" s="37" t="s">
        <v>389</v>
      </c>
      <c r="AG179" s="62" t="s">
        <v>446</v>
      </c>
      <c r="AH179" s="52" t="s">
        <v>877</v>
      </c>
      <c r="AI179" s="62"/>
      <c r="AJ179" s="1" t="s">
        <v>878</v>
      </c>
      <c r="AK179" s="37" t="n">
        <f aca="false">SUM(Table1[[#This Row],[reported_1302]:[reported_1286_iso]])</f>
        <v>1</v>
      </c>
      <c r="AL179" s="64" t="n">
        <v>0.104904844642111</v>
      </c>
      <c r="AM179" s="64" t="n">
        <v>0.091015958798162</v>
      </c>
      <c r="AN179" s="64" t="n">
        <v>0.0849472274353484</v>
      </c>
      <c r="AO179" s="64" t="n">
        <v>0.0395471301091693</v>
      </c>
      <c r="AP179" s="64" t="n">
        <v>0.671876287742252</v>
      </c>
      <c r="AQ179" s="64" t="n">
        <v>0.00770855127295782</v>
      </c>
      <c r="AR179" s="64" t="n">
        <v>0</v>
      </c>
      <c r="AS179" s="64"/>
      <c r="AT179" s="64"/>
      <c r="AU179" s="64"/>
      <c r="AV179" s="64"/>
      <c r="AW179" s="64"/>
      <c r="AX179" s="64"/>
      <c r="AY179" s="64"/>
      <c r="AZ179" s="64"/>
      <c r="BA179" s="64" t="n">
        <f aca="false">AL179/SUM($AL179:$AQ179)</f>
        <v>0.104904844642111</v>
      </c>
      <c r="BB179" s="64" t="n">
        <f aca="false">AM179/SUM($AL179:$AQ179)</f>
        <v>0.091015958798162</v>
      </c>
      <c r="BC179" s="64" t="n">
        <f aca="false">AN179/SUM($AL179:$AQ179)</f>
        <v>0.0849472274353483</v>
      </c>
      <c r="BD179" s="64" t="n">
        <f aca="false">AO179/SUM($AL179:$AQ179)</f>
        <v>0.0395471301091693</v>
      </c>
      <c r="BE179" s="64" t="n">
        <f aca="false">AP179/SUM($AL179:$AQ179)</f>
        <v>0.671876287742252</v>
      </c>
      <c r="BF179" s="64" t="n">
        <f aca="false">AQ179/SUM($AL179:$AQ179)</f>
        <v>0.00770855127295781</v>
      </c>
      <c r="BG179" s="65" t="e">
        <f aca="false">#N/A</f>
        <v>#N/A</v>
      </c>
      <c r="BH179" s="37" t="s">
        <v>393</v>
      </c>
      <c r="BI179" s="37" t="s">
        <v>463</v>
      </c>
      <c r="BJ179" s="37" t="s">
        <v>879</v>
      </c>
      <c r="BK179" s="40" t="s">
        <v>5</v>
      </c>
      <c r="BL179" s="40" t="s">
        <v>5</v>
      </c>
      <c r="BM179" s="37" t="s">
        <v>397</v>
      </c>
      <c r="BN179" s="37" t="s">
        <v>397</v>
      </c>
      <c r="BO179" s="37" t="s">
        <v>595</v>
      </c>
      <c r="BP179" s="37" t="s">
        <v>397</v>
      </c>
      <c r="BQ179" s="37" t="s">
        <v>397</v>
      </c>
      <c r="BR179" s="37" t="s">
        <v>405</v>
      </c>
      <c r="BS179" s="37" t="s">
        <v>405</v>
      </c>
      <c r="BT179" s="37" t="s">
        <v>880</v>
      </c>
      <c r="BU179" s="37" t="s">
        <v>466</v>
      </c>
      <c r="BV179" s="37" t="s">
        <v>881</v>
      </c>
      <c r="BW179" s="37" t="s">
        <v>881</v>
      </c>
    </row>
    <row r="180" customFormat="false" ht="14.9" hidden="false" customHeight="false" outlineLevel="0" collapsed="false">
      <c r="A180" s="37" t="s">
        <v>906</v>
      </c>
      <c r="B180" s="62" t="s">
        <v>184</v>
      </c>
      <c r="C180" s="37" t="s">
        <v>183</v>
      </c>
      <c r="D180" s="37" t="n">
        <f aca="false">INDEX(Strain_IDs!C:C,MATCH(Table1[[#This Row],[Strains]],Strain_IDs!D:D,0))</f>
        <v>12</v>
      </c>
      <c r="E180" s="1" t="s">
        <v>907</v>
      </c>
      <c r="F180" s="1" t="s">
        <v>16</v>
      </c>
      <c r="G180" s="1" t="s">
        <v>17</v>
      </c>
      <c r="H180" s="1" t="s">
        <v>15</v>
      </c>
      <c r="I180" s="1" t="s">
        <v>908</v>
      </c>
      <c r="J180" s="1" t="s">
        <v>909</v>
      </c>
      <c r="K180" s="37" t="s">
        <v>384</v>
      </c>
      <c r="L180" s="1" t="s">
        <v>18</v>
      </c>
      <c r="M180" s="1" t="s">
        <v>18</v>
      </c>
      <c r="N180" s="1" t="s">
        <v>18</v>
      </c>
      <c r="O180" s="37" t="s">
        <v>910</v>
      </c>
      <c r="P180" s="37" t="s">
        <v>911</v>
      </c>
      <c r="Q180" s="37"/>
      <c r="R180" s="37"/>
      <c r="S180" s="37"/>
      <c r="T180" s="37"/>
      <c r="U180" s="37"/>
      <c r="V180" s="37"/>
      <c r="W180" s="37" t="s">
        <v>912</v>
      </c>
      <c r="X180" s="37" t="n">
        <v>20</v>
      </c>
      <c r="Y180" s="37"/>
      <c r="Z180" s="37"/>
      <c r="AB180" s="37"/>
      <c r="AC180" s="37"/>
      <c r="AD180" s="37"/>
      <c r="AE180" s="37"/>
      <c r="AF180" s="37" t="s">
        <v>389</v>
      </c>
      <c r="AG180" s="62" t="s">
        <v>446</v>
      </c>
      <c r="AH180" s="52" t="s">
        <v>877</v>
      </c>
      <c r="AI180" s="62"/>
      <c r="AJ180" s="1" t="s">
        <v>878</v>
      </c>
      <c r="AK180" s="37" t="n">
        <f aca="false">SUM(Table1[[#This Row],[reported_1302]:[reported_1286_iso]])</f>
        <v>1</v>
      </c>
      <c r="AL180" s="64" t="n">
        <v>0.242490573713855</v>
      </c>
      <c r="AM180" s="64" t="n">
        <v>0.199686089687055</v>
      </c>
      <c r="AN180" s="64" t="n">
        <v>0.154486790670343</v>
      </c>
      <c r="AO180" s="64" t="n">
        <v>0.0886431015284976</v>
      </c>
      <c r="AP180" s="64" t="n">
        <v>0.153446368557124</v>
      </c>
      <c r="AQ180" s="64" t="n">
        <v>0.161247075843126</v>
      </c>
      <c r="AR180" s="64" t="n">
        <v>0</v>
      </c>
      <c r="AS180" s="64"/>
      <c r="AT180" s="64"/>
      <c r="AU180" s="64"/>
      <c r="AV180" s="64"/>
      <c r="AW180" s="64"/>
      <c r="AX180" s="64"/>
      <c r="AY180" s="64"/>
      <c r="AZ180" s="64"/>
      <c r="BA180" s="64" t="n">
        <f aca="false">AL180/SUM($AL180:$AQ180)</f>
        <v>0.242490573713855</v>
      </c>
      <c r="BB180" s="64" t="n">
        <f aca="false">AM180/SUM($AL180:$AQ180)</f>
        <v>0.199686089687055</v>
      </c>
      <c r="BC180" s="64" t="n">
        <f aca="false">AN180/SUM($AL180:$AQ180)</f>
        <v>0.154486790670343</v>
      </c>
      <c r="BD180" s="64" t="n">
        <f aca="false">AO180/SUM($AL180:$AQ180)</f>
        <v>0.0886431015284975</v>
      </c>
      <c r="BE180" s="64" t="n">
        <f aca="false">AP180/SUM($AL180:$AQ180)</f>
        <v>0.153446368557124</v>
      </c>
      <c r="BF180" s="64" t="n">
        <f aca="false">AQ180/SUM($AL180:$AQ180)</f>
        <v>0.161247075843126</v>
      </c>
      <c r="BG180" s="65" t="e">
        <f aca="false">#N/A</f>
        <v>#N/A</v>
      </c>
      <c r="BH180" s="37" t="s">
        <v>393</v>
      </c>
      <c r="BI180" s="37" t="s">
        <v>463</v>
      </c>
      <c r="BJ180" s="37" t="s">
        <v>879</v>
      </c>
      <c r="BK180" s="40" t="s">
        <v>5</v>
      </c>
      <c r="BL180" s="40" t="s">
        <v>5</v>
      </c>
      <c r="BM180" s="37" t="s">
        <v>397</v>
      </c>
      <c r="BN180" s="37" t="s">
        <v>397</v>
      </c>
      <c r="BO180" s="37" t="s">
        <v>595</v>
      </c>
      <c r="BP180" s="37" t="s">
        <v>397</v>
      </c>
      <c r="BQ180" s="37" t="s">
        <v>397</v>
      </c>
      <c r="BR180" s="37" t="s">
        <v>405</v>
      </c>
      <c r="BS180" s="37" t="s">
        <v>405</v>
      </c>
      <c r="BT180" s="37" t="s">
        <v>880</v>
      </c>
      <c r="BU180" s="37" t="s">
        <v>466</v>
      </c>
      <c r="BV180" s="37" t="s">
        <v>881</v>
      </c>
      <c r="BW180" s="37" t="s">
        <v>881</v>
      </c>
    </row>
    <row r="181" customFormat="false" ht="14.9" hidden="false" customHeight="false" outlineLevel="0" collapsed="false">
      <c r="A181" s="37" t="s">
        <v>913</v>
      </c>
      <c r="B181" s="62" t="s">
        <v>108</v>
      </c>
      <c r="C181" s="37" t="s">
        <v>107</v>
      </c>
      <c r="D181" s="37" t="n">
        <f aca="false">INDEX(Strain_IDs!C:C,MATCH(Table1[[#This Row],[Strains]],Strain_IDs!D:D,0))</f>
        <v>5.1</v>
      </c>
      <c r="E181" s="37" t="s">
        <v>382</v>
      </c>
      <c r="F181" s="37" t="s">
        <v>20</v>
      </c>
      <c r="G181" s="37" t="s">
        <v>21</v>
      </c>
      <c r="H181" s="37" t="s">
        <v>27</v>
      </c>
      <c r="I181" s="37" t="s">
        <v>455</v>
      </c>
      <c r="J181" s="37" t="s">
        <v>487</v>
      </c>
      <c r="K181" s="37" t="s">
        <v>384</v>
      </c>
      <c r="L181" s="37" t="s">
        <v>20</v>
      </c>
      <c r="M181" s="37" t="s">
        <v>385</v>
      </c>
      <c r="N181" s="37" t="s">
        <v>27</v>
      </c>
      <c r="O181" s="40" t="s">
        <v>455</v>
      </c>
      <c r="P181" s="37" t="s">
        <v>487</v>
      </c>
      <c r="Q181" s="37" t="s">
        <v>456</v>
      </c>
      <c r="R181" s="37" t="s">
        <v>62</v>
      </c>
      <c r="S181" s="37" t="s">
        <v>63</v>
      </c>
      <c r="T181" s="37" t="s">
        <v>387</v>
      </c>
      <c r="U181" s="37" t="s">
        <v>488</v>
      </c>
      <c r="V181" s="37" t="s">
        <v>489</v>
      </c>
      <c r="W181" s="37" t="s">
        <v>914</v>
      </c>
      <c r="X181" s="37" t="n">
        <v>15</v>
      </c>
      <c r="Y181" s="37"/>
      <c r="Z181" s="37"/>
      <c r="AB181" s="37"/>
      <c r="AC181" s="37"/>
      <c r="AD181" s="37"/>
      <c r="AE181" s="37"/>
      <c r="AF181" s="37" t="s">
        <v>389</v>
      </c>
      <c r="AG181" s="62" t="s">
        <v>446</v>
      </c>
      <c r="AH181" s="52" t="s">
        <v>877</v>
      </c>
      <c r="AI181" s="62"/>
      <c r="AJ181" s="1" t="s">
        <v>878</v>
      </c>
      <c r="AK181" s="37" t="n">
        <f aca="false">SUM(Table1[[#This Row],[reported_1302]:[reported_1286_iso]])</f>
        <v>1</v>
      </c>
      <c r="AL181" s="64" t="n">
        <v>0.515723727749872</v>
      </c>
      <c r="AM181" s="64" t="n">
        <v>0.133709782276437</v>
      </c>
      <c r="AN181" s="64" t="n">
        <v>0.0447452878654551</v>
      </c>
      <c r="AO181" s="64" t="n">
        <v>0.020957003605465</v>
      </c>
      <c r="AP181" s="64" t="n">
        <v>0.281868787062314</v>
      </c>
      <c r="AQ181" s="64" t="n">
        <v>0.0029954114404571</v>
      </c>
      <c r="AR181" s="64" t="n">
        <v>0</v>
      </c>
      <c r="AS181" s="64"/>
      <c r="AT181" s="64"/>
      <c r="AU181" s="64"/>
      <c r="AV181" s="64"/>
      <c r="AW181" s="64"/>
      <c r="AX181" s="64"/>
      <c r="AY181" s="64"/>
      <c r="AZ181" s="64"/>
      <c r="BA181" s="64" t="n">
        <f aca="false">AL181/SUM($AL181:$AQ181)</f>
        <v>0.515723727749872</v>
      </c>
      <c r="BB181" s="64" t="n">
        <f aca="false">AM181/SUM($AL181:$AQ181)</f>
        <v>0.133709782276437</v>
      </c>
      <c r="BC181" s="64" t="n">
        <f aca="false">AN181/SUM($AL181:$AQ181)</f>
        <v>0.0447452878654551</v>
      </c>
      <c r="BD181" s="64" t="n">
        <f aca="false">AO181/SUM($AL181:$AQ181)</f>
        <v>0.020957003605465</v>
      </c>
      <c r="BE181" s="64" t="n">
        <f aca="false">AP181/SUM($AL181:$AQ181)</f>
        <v>0.281868787062314</v>
      </c>
      <c r="BF181" s="64" t="n">
        <f aca="false">AQ181/SUM($AL181:$AQ181)</f>
        <v>0.0029954114404571</v>
      </c>
      <c r="BG181" s="65" t="e">
        <f aca="false">#N/A</f>
        <v>#N/A</v>
      </c>
      <c r="BH181" s="37" t="s">
        <v>393</v>
      </c>
      <c r="BI181" s="37" t="s">
        <v>463</v>
      </c>
      <c r="BJ181" s="37" t="s">
        <v>879</v>
      </c>
      <c r="BK181" s="40" t="s">
        <v>5</v>
      </c>
      <c r="BL181" s="40" t="s">
        <v>5</v>
      </c>
      <c r="BM181" s="37" t="s">
        <v>397</v>
      </c>
      <c r="BN181" s="37" t="s">
        <v>397</v>
      </c>
      <c r="BO181" s="37" t="s">
        <v>595</v>
      </c>
      <c r="BP181" s="37" t="s">
        <v>397</v>
      </c>
      <c r="BQ181" s="37" t="s">
        <v>397</v>
      </c>
      <c r="BR181" s="37" t="s">
        <v>405</v>
      </c>
      <c r="BS181" s="37" t="s">
        <v>405</v>
      </c>
      <c r="BT181" s="37" t="s">
        <v>880</v>
      </c>
      <c r="BU181" s="37" t="s">
        <v>466</v>
      </c>
      <c r="BV181" s="37" t="s">
        <v>881</v>
      </c>
      <c r="BW181" s="37" t="s">
        <v>881</v>
      </c>
    </row>
    <row r="182" customFormat="false" ht="14.9" hidden="false" customHeight="false" outlineLevel="0" collapsed="false">
      <c r="A182" s="37" t="s">
        <v>915</v>
      </c>
      <c r="B182" s="62" t="s">
        <v>108</v>
      </c>
      <c r="C182" s="37" t="s">
        <v>107</v>
      </c>
      <c r="D182" s="37" t="n">
        <f aca="false">INDEX(Strain_IDs!C:C,MATCH(Table1[[#This Row],[Strains]],Strain_IDs!D:D,0))</f>
        <v>5.1</v>
      </c>
      <c r="E182" s="37" t="s">
        <v>382</v>
      </c>
      <c r="F182" s="37" t="s">
        <v>20</v>
      </c>
      <c r="G182" s="37" t="s">
        <v>21</v>
      </c>
      <c r="H182" s="37" t="s">
        <v>27</v>
      </c>
      <c r="I182" s="37" t="s">
        <v>455</v>
      </c>
      <c r="J182" s="37" t="s">
        <v>487</v>
      </c>
      <c r="K182" s="37" t="s">
        <v>384</v>
      </c>
      <c r="L182" s="37" t="s">
        <v>20</v>
      </c>
      <c r="M182" s="37" t="s">
        <v>385</v>
      </c>
      <c r="N182" s="37" t="s">
        <v>27</v>
      </c>
      <c r="O182" s="40" t="s">
        <v>455</v>
      </c>
      <c r="P182" s="37" t="s">
        <v>487</v>
      </c>
      <c r="Q182" s="37" t="s">
        <v>456</v>
      </c>
      <c r="R182" s="37" t="s">
        <v>62</v>
      </c>
      <c r="S182" s="37" t="s">
        <v>63</v>
      </c>
      <c r="T182" s="37" t="s">
        <v>387</v>
      </c>
      <c r="U182" s="37" t="s">
        <v>488</v>
      </c>
      <c r="V182" s="37" t="s">
        <v>489</v>
      </c>
      <c r="W182" s="37" t="s">
        <v>916</v>
      </c>
      <c r="X182" s="37" t="n">
        <v>20</v>
      </c>
      <c r="Y182" s="37"/>
      <c r="Z182" s="37"/>
      <c r="AB182" s="37"/>
      <c r="AC182" s="37"/>
      <c r="AD182" s="37"/>
      <c r="AE182" s="37"/>
      <c r="AF182" s="37" t="s">
        <v>389</v>
      </c>
      <c r="AG182" s="62" t="s">
        <v>446</v>
      </c>
      <c r="AH182" s="52" t="s">
        <v>877</v>
      </c>
      <c r="AI182" s="62"/>
      <c r="AJ182" s="1" t="s">
        <v>878</v>
      </c>
      <c r="AK182" s="37" t="n">
        <f aca="false">SUM(Table1[[#This Row],[reported_1302]:[reported_1286_iso]])</f>
        <v>1</v>
      </c>
      <c r="AL182" s="64" t="n">
        <v>0.437775323736155</v>
      </c>
      <c r="AM182" s="64" t="n">
        <v>0.174887305496125</v>
      </c>
      <c r="AN182" s="64" t="n">
        <v>0.0621035722000656</v>
      </c>
      <c r="AO182" s="64" t="n">
        <v>0.0308621207053304</v>
      </c>
      <c r="AP182" s="64" t="n">
        <v>0.285259193446433</v>
      </c>
      <c r="AQ182" s="64" t="n">
        <v>0.00911248441589158</v>
      </c>
      <c r="AR182" s="64" t="n">
        <v>0</v>
      </c>
      <c r="AS182" s="64"/>
      <c r="AT182" s="64"/>
      <c r="AU182" s="64"/>
      <c r="AV182" s="64"/>
      <c r="AW182" s="64"/>
      <c r="AX182" s="64"/>
      <c r="AY182" s="64"/>
      <c r="AZ182" s="64"/>
      <c r="BA182" s="64" t="n">
        <f aca="false">AL182/SUM($AL182:$AQ182)</f>
        <v>0.437775323736155</v>
      </c>
      <c r="BB182" s="64" t="n">
        <f aca="false">AM182/SUM($AL182:$AQ182)</f>
        <v>0.174887305496125</v>
      </c>
      <c r="BC182" s="64" t="n">
        <f aca="false">AN182/SUM($AL182:$AQ182)</f>
        <v>0.0621035722000656</v>
      </c>
      <c r="BD182" s="64" t="n">
        <f aca="false">AO182/SUM($AL182:$AQ182)</f>
        <v>0.0308621207053304</v>
      </c>
      <c r="BE182" s="64" t="n">
        <f aca="false">AP182/SUM($AL182:$AQ182)</f>
        <v>0.285259193446433</v>
      </c>
      <c r="BF182" s="64" t="n">
        <f aca="false">AQ182/SUM($AL182:$AQ182)</f>
        <v>0.00911248441589158</v>
      </c>
      <c r="BG182" s="65" t="e">
        <f aca="false">#N/A</f>
        <v>#N/A</v>
      </c>
      <c r="BH182" s="37" t="s">
        <v>393</v>
      </c>
      <c r="BI182" s="37" t="s">
        <v>463</v>
      </c>
      <c r="BJ182" s="37" t="s">
        <v>879</v>
      </c>
      <c r="BK182" s="40" t="s">
        <v>5</v>
      </c>
      <c r="BL182" s="40" t="s">
        <v>5</v>
      </c>
      <c r="BM182" s="37" t="s">
        <v>397</v>
      </c>
      <c r="BN182" s="37" t="s">
        <v>397</v>
      </c>
      <c r="BO182" s="37" t="s">
        <v>595</v>
      </c>
      <c r="BP182" s="37" t="s">
        <v>397</v>
      </c>
      <c r="BQ182" s="37" t="s">
        <v>397</v>
      </c>
      <c r="BR182" s="37" t="s">
        <v>405</v>
      </c>
      <c r="BS182" s="37" t="s">
        <v>405</v>
      </c>
      <c r="BT182" s="37" t="s">
        <v>880</v>
      </c>
      <c r="BU182" s="37" t="s">
        <v>466</v>
      </c>
      <c r="BV182" s="37" t="s">
        <v>881</v>
      </c>
      <c r="BW182" s="37" t="s">
        <v>881</v>
      </c>
    </row>
    <row r="183" customFormat="false" ht="14.9" hidden="false" customHeight="false" outlineLevel="0" collapsed="false">
      <c r="A183" s="37" t="s">
        <v>917</v>
      </c>
      <c r="B183" s="62" t="s">
        <v>108</v>
      </c>
      <c r="C183" s="37" t="s">
        <v>107</v>
      </c>
      <c r="D183" s="37" t="n">
        <f aca="false">INDEX(Strain_IDs!C:C,MATCH(Table1[[#This Row],[Strains]],Strain_IDs!D:D,0))</f>
        <v>5.1</v>
      </c>
      <c r="E183" s="37" t="s">
        <v>382</v>
      </c>
      <c r="F183" s="37" t="s">
        <v>20</v>
      </c>
      <c r="G183" s="37" t="s">
        <v>21</v>
      </c>
      <c r="H183" s="37" t="s">
        <v>27</v>
      </c>
      <c r="I183" s="37" t="s">
        <v>455</v>
      </c>
      <c r="J183" s="37" t="s">
        <v>487</v>
      </c>
      <c r="K183" s="37" t="s">
        <v>384</v>
      </c>
      <c r="L183" s="37" t="s">
        <v>20</v>
      </c>
      <c r="M183" s="37" t="s">
        <v>385</v>
      </c>
      <c r="N183" s="37" t="s">
        <v>27</v>
      </c>
      <c r="O183" s="40" t="s">
        <v>455</v>
      </c>
      <c r="P183" s="37" t="s">
        <v>487</v>
      </c>
      <c r="Q183" s="37" t="s">
        <v>456</v>
      </c>
      <c r="R183" s="37" t="s">
        <v>62</v>
      </c>
      <c r="S183" s="37" t="s">
        <v>63</v>
      </c>
      <c r="T183" s="37" t="s">
        <v>387</v>
      </c>
      <c r="U183" s="37" t="s">
        <v>488</v>
      </c>
      <c r="V183" s="37" t="s">
        <v>489</v>
      </c>
      <c r="W183" s="37" t="s">
        <v>918</v>
      </c>
      <c r="X183" s="37" t="n">
        <v>25</v>
      </c>
      <c r="Y183" s="37"/>
      <c r="Z183" s="37"/>
      <c r="AB183" s="37"/>
      <c r="AC183" s="37"/>
      <c r="AD183" s="37"/>
      <c r="AE183" s="37"/>
      <c r="AF183" s="37" t="s">
        <v>389</v>
      </c>
      <c r="AG183" s="62" t="s">
        <v>446</v>
      </c>
      <c r="AH183" s="52" t="s">
        <v>877</v>
      </c>
      <c r="AI183" s="62"/>
      <c r="AJ183" s="1" t="s">
        <v>878</v>
      </c>
      <c r="AK183" s="37" t="n">
        <f aca="false">SUM(Table1[[#This Row],[reported_1302]:[reported_1286_iso]])</f>
        <v>0.999999999999999</v>
      </c>
      <c r="AL183" s="64" t="n">
        <v>0.379610207503242</v>
      </c>
      <c r="AM183" s="64" t="n">
        <v>0.177252789684837</v>
      </c>
      <c r="AN183" s="64" t="n">
        <v>0.0637082262388039</v>
      </c>
      <c r="AO183" s="64" t="n">
        <v>0.0443612245348016</v>
      </c>
      <c r="AP183" s="64" t="n">
        <v>0.323836035743518</v>
      </c>
      <c r="AQ183" s="64" t="n">
        <v>0.011231516294797</v>
      </c>
      <c r="AR183" s="64" t="n">
        <v>0</v>
      </c>
      <c r="AS183" s="64"/>
      <c r="AT183" s="64"/>
      <c r="AU183" s="64"/>
      <c r="AV183" s="64"/>
      <c r="AW183" s="64"/>
      <c r="AX183" s="64"/>
      <c r="AY183" s="64"/>
      <c r="AZ183" s="64"/>
      <c r="BA183" s="64" t="n">
        <f aca="false">AL183/SUM($AL183:$AQ183)</f>
        <v>0.379610207503242</v>
      </c>
      <c r="BB183" s="64" t="n">
        <f aca="false">AM183/SUM($AL183:$AQ183)</f>
        <v>0.177252789684837</v>
      </c>
      <c r="BC183" s="64" t="n">
        <f aca="false">AN183/SUM($AL183:$AQ183)</f>
        <v>0.0637082262388039</v>
      </c>
      <c r="BD183" s="64" t="n">
        <f aca="false">AO183/SUM($AL183:$AQ183)</f>
        <v>0.0443612245348016</v>
      </c>
      <c r="BE183" s="64" t="n">
        <f aca="false">AP183/SUM($AL183:$AQ183)</f>
        <v>0.323836035743518</v>
      </c>
      <c r="BF183" s="64" t="n">
        <f aca="false">AQ183/SUM($AL183:$AQ183)</f>
        <v>0.011231516294797</v>
      </c>
      <c r="BG183" s="65" t="e">
        <f aca="false">#N/A</f>
        <v>#N/A</v>
      </c>
      <c r="BH183" s="37" t="s">
        <v>393</v>
      </c>
      <c r="BI183" s="37" t="s">
        <v>463</v>
      </c>
      <c r="BJ183" s="37" t="s">
        <v>879</v>
      </c>
      <c r="BK183" s="40" t="s">
        <v>5</v>
      </c>
      <c r="BL183" s="40" t="s">
        <v>5</v>
      </c>
      <c r="BM183" s="37" t="s">
        <v>397</v>
      </c>
      <c r="BN183" s="37" t="s">
        <v>397</v>
      </c>
      <c r="BO183" s="37" t="s">
        <v>595</v>
      </c>
      <c r="BP183" s="37" t="s">
        <v>397</v>
      </c>
      <c r="BQ183" s="37" t="s">
        <v>397</v>
      </c>
      <c r="BR183" s="37" t="s">
        <v>405</v>
      </c>
      <c r="BS183" s="37" t="s">
        <v>405</v>
      </c>
      <c r="BT183" s="37" t="s">
        <v>880</v>
      </c>
      <c r="BU183" s="37" t="s">
        <v>466</v>
      </c>
      <c r="BV183" s="37" t="s">
        <v>881</v>
      </c>
      <c r="BW183" s="37" t="s">
        <v>881</v>
      </c>
    </row>
    <row r="184" customFormat="false" ht="14.9" hidden="false" customHeight="false" outlineLevel="0" collapsed="false">
      <c r="A184" s="37" t="s">
        <v>919</v>
      </c>
      <c r="B184" s="62" t="s">
        <v>108</v>
      </c>
      <c r="C184" s="37" t="s">
        <v>920</v>
      </c>
      <c r="D184" s="37" t="n">
        <f aca="false">INDEX(Strain_IDs!C:C,MATCH(Table1[[#This Row],[Strains]],Strain_IDs!D:D,0))</f>
        <v>5.1</v>
      </c>
      <c r="E184" s="37" t="s">
        <v>382</v>
      </c>
      <c r="F184" s="37" t="s">
        <v>20</v>
      </c>
      <c r="G184" s="37" t="s">
        <v>21</v>
      </c>
      <c r="H184" s="37" t="s">
        <v>27</v>
      </c>
      <c r="I184" s="37" t="s">
        <v>455</v>
      </c>
      <c r="J184" s="37" t="s">
        <v>487</v>
      </c>
      <c r="K184" s="37" t="s">
        <v>384</v>
      </c>
      <c r="L184" s="37" t="s">
        <v>20</v>
      </c>
      <c r="M184" s="37" t="s">
        <v>385</v>
      </c>
      <c r="N184" s="37" t="s">
        <v>27</v>
      </c>
      <c r="O184" s="40" t="s">
        <v>455</v>
      </c>
      <c r="P184" s="37" t="s">
        <v>487</v>
      </c>
      <c r="Q184" s="37" t="s">
        <v>456</v>
      </c>
      <c r="R184" s="37" t="s">
        <v>62</v>
      </c>
      <c r="S184" s="37" t="s">
        <v>63</v>
      </c>
      <c r="T184" s="37" t="s">
        <v>387</v>
      </c>
      <c r="U184" s="37" t="s">
        <v>488</v>
      </c>
      <c r="V184" s="37" t="s">
        <v>489</v>
      </c>
      <c r="W184" s="37" t="s">
        <v>921</v>
      </c>
      <c r="X184" s="37" t="n">
        <v>30</v>
      </c>
      <c r="Y184" s="37"/>
      <c r="Z184" s="37"/>
      <c r="AB184" s="37"/>
      <c r="AC184" s="37"/>
      <c r="AD184" s="37"/>
      <c r="AE184" s="37"/>
      <c r="AF184" s="37" t="s">
        <v>389</v>
      </c>
      <c r="AG184" s="62" t="s">
        <v>446</v>
      </c>
      <c r="AH184" s="52" t="s">
        <v>877</v>
      </c>
      <c r="AI184" s="62"/>
      <c r="AJ184" s="1" t="s">
        <v>878</v>
      </c>
      <c r="AK184" s="37" t="n">
        <f aca="false">SUM(Table1[[#This Row],[reported_1302]:[reported_1286_iso]])</f>
        <v>1</v>
      </c>
      <c r="AL184" s="64" t="n">
        <v>0.34460612646573</v>
      </c>
      <c r="AM184" s="64" t="n">
        <v>0.180109248740323</v>
      </c>
      <c r="AN184" s="64" t="n">
        <v>0.0870316320768309</v>
      </c>
      <c r="AO184" s="64" t="n">
        <v>0.0428271874079479</v>
      </c>
      <c r="AP184" s="64" t="n">
        <v>0.323895412656285</v>
      </c>
      <c r="AQ184" s="64" t="n">
        <v>0.0215303926528836</v>
      </c>
      <c r="AR184" s="64" t="n">
        <v>0</v>
      </c>
      <c r="AS184" s="64"/>
      <c r="AT184" s="64"/>
      <c r="AU184" s="64"/>
      <c r="AV184" s="64"/>
      <c r="AW184" s="64"/>
      <c r="AX184" s="64"/>
      <c r="AY184" s="64"/>
      <c r="AZ184" s="64"/>
      <c r="BA184" s="64" t="n">
        <f aca="false">AL184/SUM($AL184:$AQ184)</f>
        <v>0.34460612646573</v>
      </c>
      <c r="BB184" s="64" t="n">
        <f aca="false">AM184/SUM($AL184:$AQ184)</f>
        <v>0.180109248740323</v>
      </c>
      <c r="BC184" s="64" t="n">
        <f aca="false">AN184/SUM($AL184:$AQ184)</f>
        <v>0.0870316320768309</v>
      </c>
      <c r="BD184" s="64" t="n">
        <f aca="false">AO184/SUM($AL184:$AQ184)</f>
        <v>0.0428271874079479</v>
      </c>
      <c r="BE184" s="64" t="n">
        <f aca="false">AP184/SUM($AL184:$AQ184)</f>
        <v>0.323895412656285</v>
      </c>
      <c r="BF184" s="64" t="n">
        <f aca="false">AQ184/SUM($AL184:$AQ184)</f>
        <v>0.0215303926528836</v>
      </c>
      <c r="BG184" s="65" t="e">
        <f aca="false">#N/A</f>
        <v>#N/A</v>
      </c>
      <c r="BH184" s="37" t="s">
        <v>393</v>
      </c>
      <c r="BI184" s="37" t="s">
        <v>463</v>
      </c>
      <c r="BJ184" s="37" t="s">
        <v>879</v>
      </c>
      <c r="BK184" s="40" t="s">
        <v>5</v>
      </c>
      <c r="BL184" s="40" t="s">
        <v>5</v>
      </c>
      <c r="BM184" s="37" t="s">
        <v>397</v>
      </c>
      <c r="BN184" s="37" t="s">
        <v>397</v>
      </c>
      <c r="BO184" s="37" t="s">
        <v>595</v>
      </c>
      <c r="BP184" s="37" t="s">
        <v>397</v>
      </c>
      <c r="BQ184" s="37" t="s">
        <v>397</v>
      </c>
      <c r="BR184" s="37" t="s">
        <v>405</v>
      </c>
      <c r="BS184" s="37" t="s">
        <v>405</v>
      </c>
      <c r="BT184" s="37" t="s">
        <v>880</v>
      </c>
      <c r="BU184" s="37" t="s">
        <v>466</v>
      </c>
      <c r="BV184" s="37" t="s">
        <v>881</v>
      </c>
      <c r="BW184" s="37" t="s">
        <v>881</v>
      </c>
    </row>
    <row r="185" customFormat="false" ht="14.9" hidden="false" customHeight="false" outlineLevel="0" collapsed="false">
      <c r="A185" s="37" t="s">
        <v>922</v>
      </c>
      <c r="B185" s="62" t="s">
        <v>82</v>
      </c>
      <c r="C185" s="37" t="s">
        <v>920</v>
      </c>
      <c r="D185" s="37" t="n">
        <f aca="false">INDEX(Strain_IDs!C:C,MATCH(Table1[[#This Row],[Strains]],Strain_IDs!D:D,0))</f>
        <v>3</v>
      </c>
      <c r="E185" s="1" t="s">
        <v>382</v>
      </c>
      <c r="F185" s="1" t="s">
        <v>16</v>
      </c>
      <c r="G185" s="1" t="s">
        <v>17</v>
      </c>
      <c r="H185" s="1" t="s">
        <v>15</v>
      </c>
      <c r="I185" s="1" t="s">
        <v>923</v>
      </c>
      <c r="J185" s="1" t="s">
        <v>924</v>
      </c>
      <c r="K185" s="1" t="s">
        <v>384</v>
      </c>
      <c r="L185" s="1" t="s">
        <v>16</v>
      </c>
      <c r="M185" s="1" t="s">
        <v>925</v>
      </c>
      <c r="N185" s="1" t="s">
        <v>15</v>
      </c>
      <c r="O185" s="1" t="s">
        <v>926</v>
      </c>
      <c r="P185" s="1" t="s">
        <v>927</v>
      </c>
      <c r="Q185" s="37" t="s">
        <v>456</v>
      </c>
      <c r="R185" s="37" t="s">
        <v>62</v>
      </c>
      <c r="S185" s="37" t="s">
        <v>63</v>
      </c>
      <c r="T185" s="37" t="s">
        <v>387</v>
      </c>
      <c r="U185" s="37" t="s">
        <v>928</v>
      </c>
      <c r="V185" s="37" t="s">
        <v>929</v>
      </c>
      <c r="W185" s="37" t="s">
        <v>930</v>
      </c>
      <c r="X185" s="37" t="n">
        <v>15</v>
      </c>
      <c r="Y185" s="37"/>
      <c r="Z185" s="37"/>
      <c r="AB185" s="37"/>
      <c r="AC185" s="37"/>
      <c r="AD185" s="37"/>
      <c r="AE185" s="37"/>
      <c r="AF185" s="37" t="s">
        <v>389</v>
      </c>
      <c r="AG185" s="62" t="s">
        <v>446</v>
      </c>
      <c r="AH185" s="52" t="s">
        <v>877</v>
      </c>
      <c r="AI185" s="62"/>
      <c r="AJ185" s="1" t="s">
        <v>878</v>
      </c>
      <c r="AK185" s="37" t="n">
        <f aca="false">SUM(Table1[[#This Row],[reported_1302]:[reported_1286_iso]])</f>
        <v>1</v>
      </c>
      <c r="AL185" s="64" t="n">
        <v>0.514026471181191</v>
      </c>
      <c r="AM185" s="64" t="n">
        <v>0.0674529770714822</v>
      </c>
      <c r="AN185" s="64" t="n">
        <v>0.0148935139910483</v>
      </c>
      <c r="AO185" s="64" t="n">
        <v>0.0127799295134205</v>
      </c>
      <c r="AP185" s="64" t="n">
        <v>0.390847108242858</v>
      </c>
      <c r="AQ185" s="64" t="n">
        <v>0</v>
      </c>
      <c r="AR185" s="64" t="n">
        <v>0</v>
      </c>
      <c r="AS185" s="64"/>
      <c r="AT185" s="64"/>
      <c r="AU185" s="64"/>
      <c r="AV185" s="64"/>
      <c r="AW185" s="64"/>
      <c r="AX185" s="64"/>
      <c r="AY185" s="64"/>
      <c r="AZ185" s="64"/>
      <c r="BA185" s="64" t="n">
        <f aca="false">AL185/SUM($AL185:$AQ185)</f>
        <v>0.514026471181191</v>
      </c>
      <c r="BB185" s="64" t="n">
        <f aca="false">AM185/SUM($AL185:$AQ185)</f>
        <v>0.0674529770714822</v>
      </c>
      <c r="BC185" s="64" t="n">
        <f aca="false">AN185/SUM($AL185:$AQ185)</f>
        <v>0.0148935139910483</v>
      </c>
      <c r="BD185" s="64" t="n">
        <f aca="false">AO185/SUM($AL185:$AQ185)</f>
        <v>0.0127799295134205</v>
      </c>
      <c r="BE185" s="64" t="n">
        <f aca="false">AP185/SUM($AL185:$AQ185)</f>
        <v>0.390847108242858</v>
      </c>
      <c r="BF185" s="64" t="n">
        <f aca="false">AQ185/SUM($AL185:$AQ185)</f>
        <v>0</v>
      </c>
      <c r="BG185" s="65" t="e">
        <f aca="false">#N/A</f>
        <v>#N/A</v>
      </c>
      <c r="BH185" s="37" t="s">
        <v>393</v>
      </c>
      <c r="BI185" s="37" t="s">
        <v>463</v>
      </c>
      <c r="BJ185" s="37" t="s">
        <v>879</v>
      </c>
      <c r="BK185" s="40" t="s">
        <v>5</v>
      </c>
      <c r="BL185" s="40" t="s">
        <v>5</v>
      </c>
      <c r="BM185" s="37" t="s">
        <v>397</v>
      </c>
      <c r="BN185" s="37" t="s">
        <v>397</v>
      </c>
      <c r="BO185" s="37" t="s">
        <v>595</v>
      </c>
      <c r="BP185" s="37" t="s">
        <v>397</v>
      </c>
      <c r="BQ185" s="37" t="s">
        <v>397</v>
      </c>
      <c r="BR185" s="37" t="s">
        <v>405</v>
      </c>
      <c r="BS185" s="37" t="s">
        <v>405</v>
      </c>
      <c r="BT185" s="37" t="s">
        <v>880</v>
      </c>
      <c r="BU185" s="37" t="s">
        <v>466</v>
      </c>
      <c r="BV185" s="37" t="s">
        <v>881</v>
      </c>
      <c r="BW185" s="37" t="s">
        <v>881</v>
      </c>
    </row>
    <row r="186" customFormat="false" ht="14.9" hidden="false" customHeight="false" outlineLevel="0" collapsed="false">
      <c r="A186" s="37" t="s">
        <v>931</v>
      </c>
      <c r="B186" s="62" t="s">
        <v>82</v>
      </c>
      <c r="C186" s="37" t="s">
        <v>920</v>
      </c>
      <c r="D186" s="37" t="n">
        <f aca="false">INDEX(Strain_IDs!C:C,MATCH(Table1[[#This Row],[Strains]],Strain_IDs!D:D,0))</f>
        <v>3</v>
      </c>
      <c r="E186" s="1" t="s">
        <v>382</v>
      </c>
      <c r="F186" s="1" t="s">
        <v>16</v>
      </c>
      <c r="G186" s="1" t="s">
        <v>17</v>
      </c>
      <c r="H186" s="1" t="s">
        <v>15</v>
      </c>
      <c r="I186" s="1" t="s">
        <v>923</v>
      </c>
      <c r="J186" s="1" t="s">
        <v>924</v>
      </c>
      <c r="K186" s="1" t="s">
        <v>384</v>
      </c>
      <c r="L186" s="1" t="s">
        <v>16</v>
      </c>
      <c r="M186" s="1" t="s">
        <v>925</v>
      </c>
      <c r="N186" s="1" t="s">
        <v>15</v>
      </c>
      <c r="O186" s="1" t="s">
        <v>926</v>
      </c>
      <c r="P186" s="1" t="s">
        <v>927</v>
      </c>
      <c r="Q186" s="37" t="s">
        <v>456</v>
      </c>
      <c r="R186" s="37" t="s">
        <v>62</v>
      </c>
      <c r="S186" s="37" t="s">
        <v>63</v>
      </c>
      <c r="T186" s="37" t="s">
        <v>387</v>
      </c>
      <c r="U186" s="37" t="s">
        <v>928</v>
      </c>
      <c r="V186" s="37" t="s">
        <v>929</v>
      </c>
      <c r="W186" s="37" t="s">
        <v>932</v>
      </c>
      <c r="X186" s="37" t="n">
        <v>17</v>
      </c>
      <c r="Y186" s="37"/>
      <c r="Z186" s="37"/>
      <c r="AB186" s="37"/>
      <c r="AC186" s="37"/>
      <c r="AD186" s="37"/>
      <c r="AE186" s="37"/>
      <c r="AF186" s="37" t="s">
        <v>389</v>
      </c>
      <c r="AG186" s="62" t="s">
        <v>446</v>
      </c>
      <c r="AH186" s="52" t="s">
        <v>877</v>
      </c>
      <c r="AI186" s="62"/>
      <c r="AJ186" s="1" t="s">
        <v>878</v>
      </c>
      <c r="AK186" s="37" t="n">
        <f aca="false">SUM(Table1[[#This Row],[reported_1302]:[reported_1286_iso]])</f>
        <v>1</v>
      </c>
      <c r="AL186" s="64" t="n">
        <v>0.408538178708186</v>
      </c>
      <c r="AM186" s="64" t="n">
        <v>0.0417999212087021</v>
      </c>
      <c r="AN186" s="64" t="n">
        <v>0.0150302757057933</v>
      </c>
      <c r="AO186" s="64" t="n">
        <v>0.00830115176078639</v>
      </c>
      <c r="AP186" s="64" t="n">
        <v>0.518682177492692</v>
      </c>
      <c r="AQ186" s="64" t="n">
        <v>0.00226053992117042</v>
      </c>
      <c r="AR186" s="64" t="n">
        <v>0.0053877552026695</v>
      </c>
      <c r="AS186" s="64"/>
      <c r="AT186" s="64"/>
      <c r="AU186" s="64"/>
      <c r="AV186" s="64"/>
      <c r="AW186" s="64"/>
      <c r="AX186" s="64"/>
      <c r="AY186" s="64"/>
      <c r="AZ186" s="64"/>
      <c r="BA186" s="64" t="n">
        <f aca="false">AL186/SUM($AL186:$AQ186)</f>
        <v>0.410751205653448</v>
      </c>
      <c r="BB186" s="64" t="n">
        <f aca="false">AM186/SUM($AL186:$AQ186)</f>
        <v>0.0420263488885757</v>
      </c>
      <c r="BC186" s="64" t="n">
        <f aca="false">AN186/SUM($AL186:$AQ186)</f>
        <v>0.0151116938127541</v>
      </c>
      <c r="BD186" s="64" t="n">
        <f aca="false">AO186/SUM($AL186:$AQ186)</f>
        <v>0.00834611860472108</v>
      </c>
      <c r="BE186" s="64" t="n">
        <f aca="false">AP186/SUM($AL186:$AQ186)</f>
        <v>0.521491847909416</v>
      </c>
      <c r="BF186" s="64" t="n">
        <f aca="false">AQ186/SUM($AL186:$AQ186)</f>
        <v>0.00227278513108497</v>
      </c>
      <c r="BG186" s="65" t="e">
        <f aca="false">#N/A</f>
        <v>#N/A</v>
      </c>
      <c r="BH186" s="37" t="s">
        <v>393</v>
      </c>
      <c r="BI186" s="37" t="s">
        <v>463</v>
      </c>
      <c r="BJ186" s="37" t="s">
        <v>879</v>
      </c>
      <c r="BK186" s="40" t="s">
        <v>5</v>
      </c>
      <c r="BL186" s="40" t="s">
        <v>5</v>
      </c>
      <c r="BM186" s="37" t="s">
        <v>397</v>
      </c>
      <c r="BN186" s="37" t="s">
        <v>397</v>
      </c>
      <c r="BO186" s="37" t="s">
        <v>595</v>
      </c>
      <c r="BP186" s="37" t="s">
        <v>397</v>
      </c>
      <c r="BQ186" s="37" t="s">
        <v>397</v>
      </c>
      <c r="BR186" s="37" t="s">
        <v>405</v>
      </c>
      <c r="BS186" s="37" t="s">
        <v>405</v>
      </c>
      <c r="BT186" s="37" t="s">
        <v>880</v>
      </c>
      <c r="BU186" s="37" t="s">
        <v>466</v>
      </c>
      <c r="BV186" s="37" t="s">
        <v>881</v>
      </c>
      <c r="BW186" s="37" t="s">
        <v>881</v>
      </c>
    </row>
    <row r="187" customFormat="false" ht="14.9" hidden="false" customHeight="false" outlineLevel="0" collapsed="false">
      <c r="A187" s="37" t="s">
        <v>933</v>
      </c>
      <c r="B187" s="62" t="s">
        <v>82</v>
      </c>
      <c r="C187" s="37" t="s">
        <v>920</v>
      </c>
      <c r="D187" s="37" t="n">
        <f aca="false">INDEX(Strain_IDs!C:C,MATCH(Table1[[#This Row],[Strains]],Strain_IDs!D:D,0))</f>
        <v>3</v>
      </c>
      <c r="E187" s="1" t="s">
        <v>382</v>
      </c>
      <c r="F187" s="1" t="s">
        <v>16</v>
      </c>
      <c r="G187" s="1" t="s">
        <v>17</v>
      </c>
      <c r="H187" s="1" t="s">
        <v>15</v>
      </c>
      <c r="I187" s="1" t="s">
        <v>923</v>
      </c>
      <c r="J187" s="1" t="s">
        <v>924</v>
      </c>
      <c r="K187" s="1" t="s">
        <v>384</v>
      </c>
      <c r="L187" s="1" t="s">
        <v>16</v>
      </c>
      <c r="M187" s="1" t="s">
        <v>925</v>
      </c>
      <c r="N187" s="1" t="s">
        <v>15</v>
      </c>
      <c r="O187" s="1" t="s">
        <v>926</v>
      </c>
      <c r="P187" s="1" t="s">
        <v>927</v>
      </c>
      <c r="Q187" s="37" t="s">
        <v>456</v>
      </c>
      <c r="R187" s="37" t="s">
        <v>62</v>
      </c>
      <c r="S187" s="37" t="s">
        <v>63</v>
      </c>
      <c r="T187" s="37" t="s">
        <v>387</v>
      </c>
      <c r="U187" s="37" t="s">
        <v>928</v>
      </c>
      <c r="V187" s="37" t="s">
        <v>929</v>
      </c>
      <c r="W187" s="37" t="s">
        <v>934</v>
      </c>
      <c r="X187" s="37" t="n">
        <v>20</v>
      </c>
      <c r="Y187" s="37"/>
      <c r="Z187" s="37"/>
      <c r="AB187" s="37"/>
      <c r="AC187" s="37"/>
      <c r="AD187" s="37"/>
      <c r="AE187" s="37"/>
      <c r="AF187" s="37" t="s">
        <v>389</v>
      </c>
      <c r="AG187" s="62" t="s">
        <v>446</v>
      </c>
      <c r="AH187" s="52" t="s">
        <v>877</v>
      </c>
      <c r="AI187" s="62"/>
      <c r="AJ187" s="1" t="s">
        <v>878</v>
      </c>
      <c r="AK187" s="37" t="n">
        <f aca="false">SUM(Table1[[#This Row],[reported_1302]:[reported_1286_iso]])</f>
        <v>1</v>
      </c>
      <c r="AL187" s="64" t="n">
        <v>0.340944371386148</v>
      </c>
      <c r="AM187" s="64" t="n">
        <v>0.0653029545206974</v>
      </c>
      <c r="AN187" s="64" t="n">
        <v>0.0264680497246913</v>
      </c>
      <c r="AO187" s="64" t="n">
        <v>0.00928547359116495</v>
      </c>
      <c r="AP187" s="64" t="n">
        <v>0.549092996365743</v>
      </c>
      <c r="AQ187" s="64" t="n">
        <v>0.00294973328276556</v>
      </c>
      <c r="AR187" s="64" t="n">
        <v>0.00595642112878997</v>
      </c>
      <c r="AS187" s="64"/>
      <c r="AT187" s="64"/>
      <c r="AU187" s="64"/>
      <c r="AV187" s="64"/>
      <c r="AW187" s="64"/>
      <c r="AX187" s="64"/>
      <c r="AY187" s="64"/>
      <c r="AZ187" s="64"/>
      <c r="BA187" s="64" t="n">
        <f aca="false">AL187/SUM($AL187:$AQ187)</f>
        <v>0.342987348475515</v>
      </c>
      <c r="BB187" s="64" t="n">
        <f aca="false">AM187/SUM($AL187:$AQ187)</f>
        <v>0.0656942571822177</v>
      </c>
      <c r="BC187" s="64" t="n">
        <f aca="false">AN187/SUM($AL187:$AQ187)</f>
        <v>0.026626649260938</v>
      </c>
      <c r="BD187" s="64" t="n">
        <f aca="false">AO187/SUM($AL187:$AQ187)</f>
        <v>0.00934111319516706</v>
      </c>
      <c r="BE187" s="64" t="n">
        <f aca="false">AP187/SUM($AL187:$AQ187)</f>
        <v>0.552383223469204</v>
      </c>
      <c r="BF187" s="64" t="n">
        <f aca="false">AQ187/SUM($AL187:$AQ187)</f>
        <v>0.00296740841695808</v>
      </c>
      <c r="BG187" s="65" t="e">
        <f aca="false">#N/A</f>
        <v>#N/A</v>
      </c>
      <c r="BH187" s="37" t="s">
        <v>393</v>
      </c>
      <c r="BI187" s="37" t="s">
        <v>463</v>
      </c>
      <c r="BJ187" s="37" t="s">
        <v>879</v>
      </c>
      <c r="BK187" s="40" t="s">
        <v>5</v>
      </c>
      <c r="BL187" s="40" t="s">
        <v>5</v>
      </c>
      <c r="BM187" s="37" t="s">
        <v>397</v>
      </c>
      <c r="BN187" s="37" t="s">
        <v>397</v>
      </c>
      <c r="BO187" s="37" t="s">
        <v>595</v>
      </c>
      <c r="BP187" s="37" t="s">
        <v>397</v>
      </c>
      <c r="BQ187" s="37" t="s">
        <v>397</v>
      </c>
      <c r="BR187" s="37" t="s">
        <v>405</v>
      </c>
      <c r="BS187" s="37" t="s">
        <v>405</v>
      </c>
      <c r="BT187" s="37" t="s">
        <v>880</v>
      </c>
      <c r="BU187" s="37" t="s">
        <v>466</v>
      </c>
      <c r="BV187" s="37" t="s">
        <v>881</v>
      </c>
      <c r="BW187" s="37" t="s">
        <v>881</v>
      </c>
    </row>
    <row r="188" customFormat="false" ht="14.9" hidden="false" customHeight="false" outlineLevel="0" collapsed="false">
      <c r="A188" s="37" t="s">
        <v>935</v>
      </c>
      <c r="B188" s="62" t="s">
        <v>82</v>
      </c>
      <c r="C188" s="37" t="s">
        <v>920</v>
      </c>
      <c r="D188" s="37" t="n">
        <f aca="false">INDEX(Strain_IDs!C:C,MATCH(Table1[[#This Row],[Strains]],Strain_IDs!D:D,0))</f>
        <v>3</v>
      </c>
      <c r="E188" s="1" t="s">
        <v>382</v>
      </c>
      <c r="F188" s="1" t="s">
        <v>16</v>
      </c>
      <c r="G188" s="1" t="s">
        <v>17</v>
      </c>
      <c r="H188" s="1" t="s">
        <v>15</v>
      </c>
      <c r="I188" s="1" t="s">
        <v>923</v>
      </c>
      <c r="J188" s="1" t="s">
        <v>924</v>
      </c>
      <c r="K188" s="1" t="s">
        <v>384</v>
      </c>
      <c r="L188" s="1" t="s">
        <v>16</v>
      </c>
      <c r="M188" s="1" t="s">
        <v>925</v>
      </c>
      <c r="N188" s="1" t="s">
        <v>15</v>
      </c>
      <c r="O188" s="1" t="s">
        <v>926</v>
      </c>
      <c r="P188" s="1" t="s">
        <v>927</v>
      </c>
      <c r="Q188" s="37" t="s">
        <v>456</v>
      </c>
      <c r="R188" s="37" t="s">
        <v>62</v>
      </c>
      <c r="S188" s="37" t="s">
        <v>63</v>
      </c>
      <c r="T188" s="37" t="s">
        <v>387</v>
      </c>
      <c r="U188" s="37" t="s">
        <v>928</v>
      </c>
      <c r="V188" s="37" t="s">
        <v>929</v>
      </c>
      <c r="W188" s="37" t="s">
        <v>936</v>
      </c>
      <c r="X188" s="37" t="n">
        <v>23</v>
      </c>
      <c r="Y188" s="37"/>
      <c r="Z188" s="37"/>
      <c r="AB188" s="37"/>
      <c r="AC188" s="37"/>
      <c r="AD188" s="37"/>
      <c r="AE188" s="37"/>
      <c r="AF188" s="37" t="s">
        <v>389</v>
      </c>
      <c r="AG188" s="62" t="s">
        <v>446</v>
      </c>
      <c r="AH188" s="52" t="s">
        <v>877</v>
      </c>
      <c r="AI188" s="62"/>
      <c r="AJ188" s="1" t="s">
        <v>878</v>
      </c>
      <c r="AK188" s="37" t="n">
        <f aca="false">SUM(Table1[[#This Row],[reported_1302]:[reported_1286_iso]])</f>
        <v>1</v>
      </c>
      <c r="AL188" s="64" t="n">
        <v>0.363780848290774</v>
      </c>
      <c r="AM188" s="64" t="n">
        <v>0.0461203751705111</v>
      </c>
      <c r="AN188" s="64" t="n">
        <v>0.0177456459318475</v>
      </c>
      <c r="AO188" s="64" t="n">
        <v>0.00841077720521622</v>
      </c>
      <c r="AP188" s="64" t="n">
        <v>0.554988246525083</v>
      </c>
      <c r="AQ188" s="64" t="n">
        <v>0.00260172179470324</v>
      </c>
      <c r="AR188" s="64" t="n">
        <v>0.00635238508186536</v>
      </c>
      <c r="AS188" s="64"/>
      <c r="AT188" s="64"/>
      <c r="AU188" s="64"/>
      <c r="AV188" s="64"/>
      <c r="AW188" s="64"/>
      <c r="AX188" s="64"/>
      <c r="AY188" s="64"/>
      <c r="AZ188" s="64"/>
      <c r="BA188" s="64" t="n">
        <f aca="false">AL188/SUM($AL188:$AQ188)</f>
        <v>0.366106497745426</v>
      </c>
      <c r="BB188" s="64" t="n">
        <f aca="false">AM188/SUM($AL188:$AQ188)</f>
        <v>0.0464152225377312</v>
      </c>
      <c r="BC188" s="64" t="n">
        <f aca="false">AN188/SUM($AL188:$AQ188)</f>
        <v>0.0178590937727049</v>
      </c>
      <c r="BD188" s="64" t="n">
        <f aca="false">AO188/SUM($AL188:$AQ188)</f>
        <v>0.00846454726901264</v>
      </c>
      <c r="BE188" s="64" t="n">
        <f aca="false">AP188/SUM($AL188:$AQ188)</f>
        <v>0.558536284083777</v>
      </c>
      <c r="BF188" s="64" t="n">
        <f aca="false">AQ188/SUM($AL188:$AQ188)</f>
        <v>0.00261835459134835</v>
      </c>
      <c r="BG188" s="65" t="e">
        <f aca="false">#N/A</f>
        <v>#N/A</v>
      </c>
      <c r="BH188" s="37" t="s">
        <v>393</v>
      </c>
      <c r="BI188" s="37" t="s">
        <v>463</v>
      </c>
      <c r="BJ188" s="37" t="s">
        <v>879</v>
      </c>
      <c r="BK188" s="40" t="s">
        <v>5</v>
      </c>
      <c r="BL188" s="40" t="s">
        <v>5</v>
      </c>
      <c r="BM188" s="37" t="s">
        <v>397</v>
      </c>
      <c r="BN188" s="37" t="s">
        <v>397</v>
      </c>
      <c r="BO188" s="37" t="s">
        <v>595</v>
      </c>
      <c r="BP188" s="37" t="s">
        <v>397</v>
      </c>
      <c r="BQ188" s="37" t="s">
        <v>397</v>
      </c>
      <c r="BR188" s="37" t="s">
        <v>405</v>
      </c>
      <c r="BS188" s="37" t="s">
        <v>405</v>
      </c>
      <c r="BT188" s="37" t="s">
        <v>880</v>
      </c>
      <c r="BU188" s="37" t="s">
        <v>466</v>
      </c>
      <c r="BV188" s="37" t="s">
        <v>881</v>
      </c>
      <c r="BW188" s="37" t="s">
        <v>881</v>
      </c>
    </row>
    <row r="189" customFormat="false" ht="14.9" hidden="false" customHeight="false" outlineLevel="0" collapsed="false">
      <c r="A189" s="1" t="s">
        <v>937</v>
      </c>
      <c r="B189" s="51" t="s">
        <v>130</v>
      </c>
      <c r="C189" s="37" t="s">
        <v>129</v>
      </c>
      <c r="D189" s="37" t="n">
        <f aca="false">INDEX(Strain_IDs!C:C,MATCH(Table1[[#This Row],[Strains]],Strain_IDs!D:D,0))</f>
        <v>7</v>
      </c>
      <c r="E189" s="37" t="s">
        <v>382</v>
      </c>
      <c r="F189" s="37" t="s">
        <v>20</v>
      </c>
      <c r="G189" s="37" t="s">
        <v>21</v>
      </c>
      <c r="H189" s="37" t="s">
        <v>27</v>
      </c>
      <c r="I189" s="37" t="s">
        <v>455</v>
      </c>
      <c r="J189" s="37" t="s">
        <v>480</v>
      </c>
      <c r="K189" s="37" t="s">
        <v>384</v>
      </c>
      <c r="L189" s="37" t="s">
        <v>20</v>
      </c>
      <c r="M189" s="37" t="s">
        <v>385</v>
      </c>
      <c r="N189" s="37" t="s">
        <v>27</v>
      </c>
      <c r="O189" s="40" t="s">
        <v>455</v>
      </c>
      <c r="P189" s="40" t="s">
        <v>480</v>
      </c>
      <c r="Q189" s="37" t="s">
        <v>456</v>
      </c>
      <c r="R189" s="37" t="s">
        <v>62</v>
      </c>
      <c r="S189" s="37" t="s">
        <v>63</v>
      </c>
      <c r="T189" s="37" t="s">
        <v>387</v>
      </c>
      <c r="U189" s="37" t="s">
        <v>133</v>
      </c>
      <c r="V189" s="37" t="s">
        <v>134</v>
      </c>
      <c r="W189" s="37" t="s">
        <v>938</v>
      </c>
      <c r="X189" s="1" t="n">
        <v>28</v>
      </c>
      <c r="AB189" s="1" t="n">
        <v>0.27</v>
      </c>
      <c r="AF189" s="37" t="s">
        <v>939</v>
      </c>
      <c r="AG189" s="62" t="s">
        <v>446</v>
      </c>
      <c r="AH189" s="52" t="s">
        <v>940</v>
      </c>
      <c r="AJ189" s="1" t="s">
        <v>941</v>
      </c>
      <c r="AK189" s="37" t="n">
        <f aca="false">SUM(Table1[[#This Row],[reported_1302]:[reported_1286_iso]])</f>
        <v>1</v>
      </c>
      <c r="AL189" s="53" t="n">
        <v>0.051</v>
      </c>
      <c r="AM189" s="53" t="n">
        <v>0.06</v>
      </c>
      <c r="AN189" s="53" t="n">
        <v>0.135</v>
      </c>
      <c r="AO189" s="53" t="n">
        <v>0.031</v>
      </c>
      <c r="AP189" s="53" t="n">
        <v>0.693</v>
      </c>
      <c r="AQ189" s="53" t="n">
        <v>0</v>
      </c>
      <c r="AR189" s="53" t="n">
        <v>0.03</v>
      </c>
      <c r="BA189" s="64" t="n">
        <f aca="false">AL189/SUM($AL189:$AQ189)</f>
        <v>0.0525773195876289</v>
      </c>
      <c r="BB189" s="64" t="n">
        <f aca="false">AM189/SUM($AL189:$AQ189)</f>
        <v>0.0618556701030928</v>
      </c>
      <c r="BC189" s="64" t="n">
        <f aca="false">AN189/SUM($AL189:$AQ189)</f>
        <v>0.139175257731959</v>
      </c>
      <c r="BD189" s="64" t="n">
        <f aca="false">AO189/SUM($AL189:$AQ189)</f>
        <v>0.0319587628865979</v>
      </c>
      <c r="BE189" s="64" t="n">
        <f aca="false">AP189/SUM($AL189:$AQ189)</f>
        <v>0.714432989690722</v>
      </c>
      <c r="BF189" s="64" t="n">
        <f aca="false">AQ189/SUM($AL189:$AQ189)</f>
        <v>0</v>
      </c>
      <c r="BG189" s="65" t="e">
        <f aca="false">#N/A</f>
        <v>#N/A</v>
      </c>
      <c r="BH189" s="37" t="s">
        <v>393</v>
      </c>
      <c r="BI189" s="37" t="s">
        <v>463</v>
      </c>
      <c r="BJ189" s="1" t="s">
        <v>942</v>
      </c>
      <c r="BK189" s="34" t="s">
        <v>4</v>
      </c>
      <c r="BL189" s="1" t="s">
        <v>4</v>
      </c>
      <c r="BM189" s="37" t="s">
        <v>397</v>
      </c>
      <c r="BN189" s="37" t="s">
        <v>397</v>
      </c>
      <c r="BO189" s="37" t="s">
        <v>595</v>
      </c>
      <c r="BP189" s="37" t="s">
        <v>397</v>
      </c>
      <c r="BQ189" s="37" t="s">
        <v>397</v>
      </c>
      <c r="BR189" s="37" t="s">
        <v>405</v>
      </c>
      <c r="BS189" s="37" t="s">
        <v>405</v>
      </c>
      <c r="BT189" s="1" t="s">
        <v>943</v>
      </c>
      <c r="BU189" s="1" t="s">
        <v>944</v>
      </c>
      <c r="BV189" s="1" t="s">
        <v>945</v>
      </c>
      <c r="BW189" s="37" t="s">
        <v>402</v>
      </c>
    </row>
    <row r="190" customFormat="false" ht="14.9" hidden="false" customHeight="false" outlineLevel="0" collapsed="false">
      <c r="A190" s="1" t="s">
        <v>946</v>
      </c>
      <c r="B190" s="51" t="s">
        <v>130</v>
      </c>
      <c r="C190" s="37" t="s">
        <v>129</v>
      </c>
      <c r="D190" s="37" t="n">
        <f aca="false">INDEX(Strain_IDs!C:C,MATCH(Table1[[#This Row],[Strains]],Strain_IDs!D:D,0))</f>
        <v>7</v>
      </c>
      <c r="E190" s="37" t="s">
        <v>382</v>
      </c>
      <c r="F190" s="37" t="s">
        <v>20</v>
      </c>
      <c r="G190" s="37" t="s">
        <v>21</v>
      </c>
      <c r="H190" s="37" t="s">
        <v>27</v>
      </c>
      <c r="I190" s="37" t="s">
        <v>455</v>
      </c>
      <c r="J190" s="37" t="s">
        <v>480</v>
      </c>
      <c r="K190" s="37" t="s">
        <v>384</v>
      </c>
      <c r="L190" s="37" t="s">
        <v>20</v>
      </c>
      <c r="M190" s="37" t="s">
        <v>385</v>
      </c>
      <c r="N190" s="37" t="s">
        <v>27</v>
      </c>
      <c r="O190" s="40" t="s">
        <v>455</v>
      </c>
      <c r="P190" s="40" t="s">
        <v>480</v>
      </c>
      <c r="Q190" s="37" t="s">
        <v>456</v>
      </c>
      <c r="R190" s="37" t="s">
        <v>62</v>
      </c>
      <c r="S190" s="37" t="s">
        <v>63</v>
      </c>
      <c r="T190" s="37" t="s">
        <v>387</v>
      </c>
      <c r="U190" s="37" t="s">
        <v>133</v>
      </c>
      <c r="V190" s="37" t="s">
        <v>134</v>
      </c>
      <c r="W190" s="37" t="s">
        <v>947</v>
      </c>
      <c r="X190" s="1" t="n">
        <v>28</v>
      </c>
      <c r="AB190" s="1" t="n">
        <v>0.23</v>
      </c>
      <c r="AF190" s="1" t="s">
        <v>939</v>
      </c>
      <c r="AG190" s="62" t="s">
        <v>446</v>
      </c>
      <c r="AH190" s="52" t="s">
        <v>940</v>
      </c>
      <c r="AJ190" s="1" t="s">
        <v>941</v>
      </c>
      <c r="AK190" s="37" t="n">
        <f aca="false">SUM(Table1[[#This Row],[reported_1302]:[reported_1286_iso]])</f>
        <v>1</v>
      </c>
      <c r="AL190" s="53" t="n">
        <v>0.051</v>
      </c>
      <c r="AM190" s="53" t="n">
        <v>0.054</v>
      </c>
      <c r="AN190" s="53" t="n">
        <v>0.123</v>
      </c>
      <c r="AO190" s="53" t="n">
        <v>0.028</v>
      </c>
      <c r="AP190" s="53" t="n">
        <v>0.711</v>
      </c>
      <c r="AQ190" s="53" t="n">
        <v>0</v>
      </c>
      <c r="AR190" s="53" t="n">
        <v>0.033</v>
      </c>
      <c r="BA190" s="64" t="n">
        <f aca="false">AL190/SUM($AL190:$AQ190)</f>
        <v>0.0527404343329886</v>
      </c>
      <c r="BB190" s="64" t="n">
        <f aca="false">AM190/SUM($AL190:$AQ190)</f>
        <v>0.0558428128231644</v>
      </c>
      <c r="BC190" s="64" t="n">
        <f aca="false">AN190/SUM($AL190:$AQ190)</f>
        <v>0.127197518097208</v>
      </c>
      <c r="BD190" s="64" t="n">
        <f aca="false">AO190/SUM($AL190:$AQ190)</f>
        <v>0.0289555325749741</v>
      </c>
      <c r="BE190" s="64" t="n">
        <f aca="false">AP190/SUM($AL190:$AQ190)</f>
        <v>0.735263702171665</v>
      </c>
      <c r="BF190" s="64" t="n">
        <f aca="false">AQ190/SUM($AL190:$AQ190)</f>
        <v>0</v>
      </c>
      <c r="BG190" s="65" t="e">
        <f aca="false">#N/A</f>
        <v>#N/A</v>
      </c>
      <c r="BH190" s="37" t="s">
        <v>393</v>
      </c>
      <c r="BI190" s="37" t="s">
        <v>463</v>
      </c>
      <c r="BJ190" s="1" t="s">
        <v>942</v>
      </c>
      <c r="BK190" s="34" t="s">
        <v>4</v>
      </c>
      <c r="BL190" s="1" t="s">
        <v>4</v>
      </c>
      <c r="BM190" s="37" t="s">
        <v>397</v>
      </c>
      <c r="BN190" s="37" t="s">
        <v>397</v>
      </c>
      <c r="BO190" s="37" t="s">
        <v>595</v>
      </c>
      <c r="BP190" s="37" t="s">
        <v>397</v>
      </c>
      <c r="BQ190" s="37" t="s">
        <v>397</v>
      </c>
      <c r="BR190" s="37" t="s">
        <v>405</v>
      </c>
      <c r="BS190" s="37" t="s">
        <v>405</v>
      </c>
      <c r="BT190" s="1" t="s">
        <v>943</v>
      </c>
      <c r="BU190" s="1" t="s">
        <v>944</v>
      </c>
      <c r="BV190" s="1" t="s">
        <v>945</v>
      </c>
      <c r="BW190" s="37" t="s">
        <v>402</v>
      </c>
    </row>
    <row r="191" customFormat="false" ht="14.9" hidden="false" customHeight="false" outlineLevel="0" collapsed="false">
      <c r="A191" s="1" t="s">
        <v>948</v>
      </c>
      <c r="B191" s="51" t="s">
        <v>130</v>
      </c>
      <c r="C191" s="37" t="s">
        <v>129</v>
      </c>
      <c r="D191" s="37" t="n">
        <f aca="false">INDEX(Strain_IDs!C:C,MATCH(Table1[[#This Row],[Strains]],Strain_IDs!D:D,0))</f>
        <v>7</v>
      </c>
      <c r="E191" s="37" t="s">
        <v>382</v>
      </c>
      <c r="F191" s="37" t="s">
        <v>20</v>
      </c>
      <c r="G191" s="37" t="s">
        <v>21</v>
      </c>
      <c r="H191" s="37" t="s">
        <v>27</v>
      </c>
      <c r="I191" s="37" t="s">
        <v>455</v>
      </c>
      <c r="J191" s="37" t="s">
        <v>480</v>
      </c>
      <c r="K191" s="37" t="s">
        <v>384</v>
      </c>
      <c r="L191" s="37" t="s">
        <v>20</v>
      </c>
      <c r="M191" s="37" t="s">
        <v>385</v>
      </c>
      <c r="N191" s="37" t="s">
        <v>27</v>
      </c>
      <c r="O191" s="40" t="s">
        <v>455</v>
      </c>
      <c r="P191" s="40" t="s">
        <v>480</v>
      </c>
      <c r="Q191" s="37" t="s">
        <v>456</v>
      </c>
      <c r="R191" s="37" t="s">
        <v>62</v>
      </c>
      <c r="S191" s="37" t="s">
        <v>63</v>
      </c>
      <c r="T191" s="37" t="s">
        <v>387</v>
      </c>
      <c r="U191" s="37" t="s">
        <v>133</v>
      </c>
      <c r="V191" s="37" t="s">
        <v>134</v>
      </c>
      <c r="W191" s="37" t="s">
        <v>949</v>
      </c>
      <c r="X191" s="1" t="n">
        <v>28</v>
      </c>
      <c r="AB191" s="1" t="n">
        <v>0.15</v>
      </c>
      <c r="AF191" s="1" t="s">
        <v>939</v>
      </c>
      <c r="AG191" s="62" t="s">
        <v>446</v>
      </c>
      <c r="AH191" s="52" t="s">
        <v>940</v>
      </c>
      <c r="AJ191" s="1" t="s">
        <v>941</v>
      </c>
      <c r="AK191" s="37" t="n">
        <f aca="false">SUM(Table1[[#This Row],[reported_1302]:[reported_1286_iso]])</f>
        <v>0.999</v>
      </c>
      <c r="AL191" s="53" t="n">
        <v>0.037</v>
      </c>
      <c r="AM191" s="53" t="n">
        <v>0.047</v>
      </c>
      <c r="AN191" s="53" t="n">
        <v>0.132</v>
      </c>
      <c r="AO191" s="53" t="n">
        <v>0.024</v>
      </c>
      <c r="AP191" s="53" t="n">
        <v>0.729</v>
      </c>
      <c r="AQ191" s="53" t="n">
        <v>0</v>
      </c>
      <c r="AR191" s="53" t="n">
        <v>0.03</v>
      </c>
      <c r="BA191" s="64" t="n">
        <f aca="false">AL191/SUM($AL191:$AQ191)</f>
        <v>0.0381836945304438</v>
      </c>
      <c r="BB191" s="64" t="n">
        <f aca="false">AM191/SUM($AL191:$AQ191)</f>
        <v>0.0485036119711042</v>
      </c>
      <c r="BC191" s="64" t="n">
        <f aca="false">AN191/SUM($AL191:$AQ191)</f>
        <v>0.136222910216718</v>
      </c>
      <c r="BD191" s="64" t="n">
        <f aca="false">AO191/SUM($AL191:$AQ191)</f>
        <v>0.0247678018575851</v>
      </c>
      <c r="BE191" s="64" t="n">
        <f aca="false">AP191/SUM($AL191:$AQ191)</f>
        <v>0.752321981424149</v>
      </c>
      <c r="BF191" s="64" t="n">
        <f aca="false">AQ191/SUM($AL191:$AQ191)</f>
        <v>0</v>
      </c>
      <c r="BG191" s="65" t="e">
        <f aca="false">#N/A</f>
        <v>#N/A</v>
      </c>
      <c r="BH191" s="37" t="s">
        <v>393</v>
      </c>
      <c r="BI191" s="37" t="s">
        <v>463</v>
      </c>
      <c r="BJ191" s="1" t="s">
        <v>942</v>
      </c>
      <c r="BK191" s="34" t="s">
        <v>4</v>
      </c>
      <c r="BL191" s="1" t="s">
        <v>4</v>
      </c>
      <c r="BM191" s="37" t="s">
        <v>397</v>
      </c>
      <c r="BN191" s="37" t="s">
        <v>397</v>
      </c>
      <c r="BO191" s="37" t="s">
        <v>595</v>
      </c>
      <c r="BP191" s="37" t="s">
        <v>397</v>
      </c>
      <c r="BQ191" s="37" t="s">
        <v>397</v>
      </c>
      <c r="BR191" s="37" t="s">
        <v>405</v>
      </c>
      <c r="BS191" s="37" t="s">
        <v>405</v>
      </c>
      <c r="BT191" s="1" t="s">
        <v>943</v>
      </c>
      <c r="BU191" s="1" t="s">
        <v>944</v>
      </c>
      <c r="BV191" s="1" t="s">
        <v>945</v>
      </c>
      <c r="BW191" s="37" t="s">
        <v>402</v>
      </c>
    </row>
    <row r="192" customFormat="false" ht="14.9" hidden="false" customHeight="false" outlineLevel="0" collapsed="false">
      <c r="A192" s="1" t="s">
        <v>950</v>
      </c>
      <c r="B192" s="51" t="s">
        <v>130</v>
      </c>
      <c r="C192" s="37" t="s">
        <v>129</v>
      </c>
      <c r="D192" s="37" t="n">
        <f aca="false">INDEX(Strain_IDs!C:C,MATCH(Table1[[#This Row],[Strains]],Strain_IDs!D:D,0))</f>
        <v>7</v>
      </c>
      <c r="E192" s="37" t="s">
        <v>382</v>
      </c>
      <c r="F192" s="37" t="s">
        <v>20</v>
      </c>
      <c r="G192" s="37" t="s">
        <v>21</v>
      </c>
      <c r="H192" s="37" t="s">
        <v>27</v>
      </c>
      <c r="I192" s="37" t="s">
        <v>455</v>
      </c>
      <c r="J192" s="37" t="s">
        <v>480</v>
      </c>
      <c r="K192" s="37" t="s">
        <v>384</v>
      </c>
      <c r="L192" s="37" t="s">
        <v>20</v>
      </c>
      <c r="M192" s="37" t="s">
        <v>385</v>
      </c>
      <c r="N192" s="37" t="s">
        <v>27</v>
      </c>
      <c r="O192" s="40" t="s">
        <v>455</v>
      </c>
      <c r="P192" s="40" t="s">
        <v>480</v>
      </c>
      <c r="Q192" s="37" t="s">
        <v>456</v>
      </c>
      <c r="R192" s="37" t="s">
        <v>62</v>
      </c>
      <c r="S192" s="37" t="s">
        <v>63</v>
      </c>
      <c r="T192" s="37" t="s">
        <v>387</v>
      </c>
      <c r="U192" s="37" t="s">
        <v>133</v>
      </c>
      <c r="V192" s="37" t="s">
        <v>134</v>
      </c>
      <c r="W192" s="37" t="s">
        <v>951</v>
      </c>
      <c r="X192" s="1" t="n">
        <v>28</v>
      </c>
      <c r="AB192" s="1" t="n">
        <v>0.04</v>
      </c>
      <c r="AF192" s="1" t="s">
        <v>939</v>
      </c>
      <c r="AG192" s="62" t="s">
        <v>446</v>
      </c>
      <c r="AH192" s="52" t="s">
        <v>940</v>
      </c>
      <c r="AJ192" s="1" t="s">
        <v>941</v>
      </c>
      <c r="AK192" s="37" t="n">
        <f aca="false">SUM(Table1[[#This Row],[reported_1302]:[reported_1286_iso]])</f>
        <v>1.001</v>
      </c>
      <c r="AL192" s="53" t="n">
        <v>0.027</v>
      </c>
      <c r="AM192" s="53" t="n">
        <v>0.03</v>
      </c>
      <c r="AN192" s="53" t="n">
        <v>0.145</v>
      </c>
      <c r="AO192" s="53" t="n">
        <v>0.03</v>
      </c>
      <c r="AP192" s="53" t="n">
        <v>0.739</v>
      </c>
      <c r="AQ192" s="53" t="n">
        <v>0</v>
      </c>
      <c r="AR192" s="53" t="n">
        <v>0.03</v>
      </c>
      <c r="BA192" s="64" t="n">
        <f aca="false">AL192/SUM($AL192:$AQ192)</f>
        <v>0.0278063851699279</v>
      </c>
      <c r="BB192" s="64" t="n">
        <f aca="false">AM192/SUM($AL192:$AQ192)</f>
        <v>0.0308959835221421</v>
      </c>
      <c r="BC192" s="64" t="n">
        <f aca="false">AN192/SUM($AL192:$AQ192)</f>
        <v>0.149330587023687</v>
      </c>
      <c r="BD192" s="64" t="n">
        <f aca="false">AO192/SUM($AL192:$AQ192)</f>
        <v>0.0308959835221421</v>
      </c>
      <c r="BE192" s="64" t="n">
        <f aca="false">AP192/SUM($AL192:$AQ192)</f>
        <v>0.761071060762101</v>
      </c>
      <c r="BF192" s="64" t="n">
        <f aca="false">AQ192/SUM($AL192:$AQ192)</f>
        <v>0</v>
      </c>
      <c r="BG192" s="65" t="e">
        <f aca="false">#N/A</f>
        <v>#N/A</v>
      </c>
      <c r="BH192" s="37" t="s">
        <v>393</v>
      </c>
      <c r="BI192" s="37" t="s">
        <v>463</v>
      </c>
      <c r="BJ192" s="1" t="s">
        <v>942</v>
      </c>
      <c r="BK192" s="34" t="s">
        <v>4</v>
      </c>
      <c r="BL192" s="1" t="s">
        <v>4</v>
      </c>
      <c r="BM192" s="37" t="s">
        <v>397</v>
      </c>
      <c r="BN192" s="37" t="s">
        <v>397</v>
      </c>
      <c r="BO192" s="37" t="s">
        <v>595</v>
      </c>
      <c r="BP192" s="37" t="s">
        <v>397</v>
      </c>
      <c r="BQ192" s="37" t="s">
        <v>397</v>
      </c>
      <c r="BR192" s="37" t="s">
        <v>405</v>
      </c>
      <c r="BS192" s="37" t="s">
        <v>405</v>
      </c>
      <c r="BT192" s="1" t="s">
        <v>943</v>
      </c>
      <c r="BU192" s="1" t="s">
        <v>944</v>
      </c>
      <c r="BV192" s="1" t="s">
        <v>945</v>
      </c>
      <c r="BW192" s="37" t="s">
        <v>402</v>
      </c>
    </row>
    <row r="193" customFormat="false" ht="14.9" hidden="false" customHeight="false" outlineLevel="0" collapsed="false">
      <c r="A193" s="1" t="s">
        <v>952</v>
      </c>
      <c r="B193" s="51" t="s">
        <v>130</v>
      </c>
      <c r="C193" s="37" t="s">
        <v>129</v>
      </c>
      <c r="D193" s="37" t="n">
        <f aca="false">INDEX(Strain_IDs!C:C,MATCH(Table1[[#This Row],[Strains]],Strain_IDs!D:D,0))</f>
        <v>7</v>
      </c>
      <c r="E193" s="37" t="s">
        <v>382</v>
      </c>
      <c r="F193" s="37" t="s">
        <v>20</v>
      </c>
      <c r="G193" s="37" t="s">
        <v>21</v>
      </c>
      <c r="H193" s="37" t="s">
        <v>27</v>
      </c>
      <c r="I193" s="37" t="s">
        <v>455</v>
      </c>
      <c r="J193" s="37" t="s">
        <v>480</v>
      </c>
      <c r="K193" s="37" t="s">
        <v>384</v>
      </c>
      <c r="L193" s="37" t="s">
        <v>20</v>
      </c>
      <c r="M193" s="37" t="s">
        <v>385</v>
      </c>
      <c r="N193" s="37" t="s">
        <v>27</v>
      </c>
      <c r="O193" s="40" t="s">
        <v>455</v>
      </c>
      <c r="P193" s="40" t="s">
        <v>480</v>
      </c>
      <c r="Q193" s="37" t="s">
        <v>456</v>
      </c>
      <c r="R193" s="37" t="s">
        <v>62</v>
      </c>
      <c r="S193" s="37" t="s">
        <v>63</v>
      </c>
      <c r="T193" s="37" t="s">
        <v>387</v>
      </c>
      <c r="U193" s="37" t="s">
        <v>133</v>
      </c>
      <c r="V193" s="37" t="s">
        <v>134</v>
      </c>
      <c r="W193" s="37" t="s">
        <v>953</v>
      </c>
      <c r="X193" s="1" t="n">
        <v>28</v>
      </c>
      <c r="AB193" s="1" t="n">
        <v>0</v>
      </c>
      <c r="AF193" s="1" t="s">
        <v>939</v>
      </c>
      <c r="AG193" s="62" t="s">
        <v>446</v>
      </c>
      <c r="AH193" s="52" t="s">
        <v>940</v>
      </c>
      <c r="AJ193" s="1" t="s">
        <v>941</v>
      </c>
      <c r="AK193" s="37" t="n">
        <f aca="false">SUM(Table1[[#This Row],[reported_1302]:[reported_1286_iso]])</f>
        <v>1.001</v>
      </c>
      <c r="AL193" s="53" t="n">
        <v>0.03</v>
      </c>
      <c r="AM193" s="53" t="n">
        <v>0.035</v>
      </c>
      <c r="AN193" s="53" t="n">
        <v>0.156</v>
      </c>
      <c r="AO193" s="53" t="n">
        <v>0.03</v>
      </c>
      <c r="AP193" s="53" t="n">
        <v>0.726</v>
      </c>
      <c r="AQ193" s="53" t="n">
        <v>0</v>
      </c>
      <c r="AR193" s="53" t="n">
        <v>0.024</v>
      </c>
      <c r="BA193" s="64" t="n">
        <f aca="false">AL193/SUM($AL193:$AQ193)</f>
        <v>0.0307062436028659</v>
      </c>
      <c r="BB193" s="64" t="n">
        <f aca="false">AM193/SUM($AL193:$AQ193)</f>
        <v>0.0358239508700102</v>
      </c>
      <c r="BC193" s="64" t="n">
        <f aca="false">AN193/SUM($AL193:$AQ193)</f>
        <v>0.159672466734903</v>
      </c>
      <c r="BD193" s="64" t="n">
        <f aca="false">AO193/SUM($AL193:$AQ193)</f>
        <v>0.0307062436028659</v>
      </c>
      <c r="BE193" s="64" t="n">
        <f aca="false">AP193/SUM($AL193:$AQ193)</f>
        <v>0.743091095189355</v>
      </c>
      <c r="BF193" s="64" t="n">
        <f aca="false">AQ193/SUM($AL193:$AQ193)</f>
        <v>0</v>
      </c>
      <c r="BG193" s="65" t="e">
        <f aca="false">#N/A</f>
        <v>#N/A</v>
      </c>
      <c r="BH193" s="37" t="s">
        <v>393</v>
      </c>
      <c r="BI193" s="37" t="s">
        <v>463</v>
      </c>
      <c r="BJ193" s="1" t="s">
        <v>942</v>
      </c>
      <c r="BK193" s="34" t="s">
        <v>4</v>
      </c>
      <c r="BL193" s="1" t="s">
        <v>4</v>
      </c>
      <c r="BM193" s="37" t="s">
        <v>397</v>
      </c>
      <c r="BN193" s="37" t="s">
        <v>397</v>
      </c>
      <c r="BO193" s="37" t="s">
        <v>595</v>
      </c>
      <c r="BP193" s="37" t="s">
        <v>397</v>
      </c>
      <c r="BQ193" s="37" t="s">
        <v>397</v>
      </c>
      <c r="BR193" s="37" t="s">
        <v>405</v>
      </c>
      <c r="BS193" s="37" t="s">
        <v>405</v>
      </c>
      <c r="BT193" s="1" t="s">
        <v>943</v>
      </c>
      <c r="BU193" s="1" t="s">
        <v>944</v>
      </c>
      <c r="BV193" s="1" t="s">
        <v>945</v>
      </c>
      <c r="BW193" s="37" t="s">
        <v>402</v>
      </c>
    </row>
    <row r="194" customFormat="false" ht="14.9" hidden="false" customHeight="false" outlineLevel="0" collapsed="false">
      <c r="A194" s="1" t="s">
        <v>954</v>
      </c>
      <c r="B194" s="51" t="s">
        <v>130</v>
      </c>
      <c r="C194" s="37" t="s">
        <v>129</v>
      </c>
      <c r="D194" s="37" t="n">
        <f aca="false">INDEX(Strain_IDs!C:C,MATCH(Table1[[#This Row],[Strains]],Strain_IDs!D:D,0))</f>
        <v>7</v>
      </c>
      <c r="E194" s="37" t="s">
        <v>382</v>
      </c>
      <c r="F194" s="37" t="s">
        <v>20</v>
      </c>
      <c r="G194" s="37" t="s">
        <v>21</v>
      </c>
      <c r="H194" s="37" t="s">
        <v>27</v>
      </c>
      <c r="I194" s="37" t="s">
        <v>455</v>
      </c>
      <c r="J194" s="37" t="s">
        <v>480</v>
      </c>
      <c r="K194" s="37" t="s">
        <v>384</v>
      </c>
      <c r="L194" s="37" t="s">
        <v>20</v>
      </c>
      <c r="M194" s="37" t="s">
        <v>385</v>
      </c>
      <c r="N194" s="37" t="s">
        <v>27</v>
      </c>
      <c r="O194" s="40" t="s">
        <v>455</v>
      </c>
      <c r="P194" s="40" t="s">
        <v>480</v>
      </c>
      <c r="Q194" s="37" t="s">
        <v>456</v>
      </c>
      <c r="R194" s="37" t="s">
        <v>62</v>
      </c>
      <c r="S194" s="37" t="s">
        <v>63</v>
      </c>
      <c r="T194" s="37" t="s">
        <v>387</v>
      </c>
      <c r="U194" s="37" t="s">
        <v>133</v>
      </c>
      <c r="V194" s="37" t="s">
        <v>134</v>
      </c>
      <c r="W194" s="37" t="s">
        <v>955</v>
      </c>
      <c r="X194" s="1" t="n">
        <v>28</v>
      </c>
      <c r="AB194" s="1" t="n">
        <v>0</v>
      </c>
      <c r="AF194" s="1" t="s">
        <v>939</v>
      </c>
      <c r="AG194" s="62" t="s">
        <v>446</v>
      </c>
      <c r="AH194" s="52" t="s">
        <v>940</v>
      </c>
      <c r="AJ194" s="1" t="s">
        <v>941</v>
      </c>
      <c r="AK194" s="37" t="n">
        <f aca="false">SUM(Table1[[#This Row],[reported_1302]:[reported_1286_iso]])</f>
        <v>1</v>
      </c>
      <c r="AL194" s="53" t="n">
        <v>0.026</v>
      </c>
      <c r="AM194" s="53" t="n">
        <v>0.02</v>
      </c>
      <c r="AN194" s="53" t="n">
        <v>0.157</v>
      </c>
      <c r="AO194" s="53" t="n">
        <v>0.033</v>
      </c>
      <c r="AP194" s="53" t="n">
        <v>0.738</v>
      </c>
      <c r="AQ194" s="53" t="n">
        <v>0</v>
      </c>
      <c r="AR194" s="53" t="n">
        <v>0.026</v>
      </c>
      <c r="BA194" s="64" t="n">
        <f aca="false">AL194/SUM($AL194:$AQ194)</f>
        <v>0.026694045174538</v>
      </c>
      <c r="BB194" s="64" t="n">
        <f aca="false">AM194/SUM($AL194:$AQ194)</f>
        <v>0.0205338809034908</v>
      </c>
      <c r="BC194" s="64" t="n">
        <f aca="false">AN194/SUM($AL194:$AQ194)</f>
        <v>0.161190965092402</v>
      </c>
      <c r="BD194" s="64" t="n">
        <f aca="false">AO194/SUM($AL194:$AQ194)</f>
        <v>0.0338809034907598</v>
      </c>
      <c r="BE194" s="64" t="n">
        <f aca="false">AP194/SUM($AL194:$AQ194)</f>
        <v>0.757700205338809</v>
      </c>
      <c r="BF194" s="64" t="n">
        <f aca="false">AQ194/SUM($AL194:$AQ194)</f>
        <v>0</v>
      </c>
      <c r="BG194" s="65" t="e">
        <f aca="false">#N/A</f>
        <v>#N/A</v>
      </c>
      <c r="BH194" s="37" t="s">
        <v>393</v>
      </c>
      <c r="BI194" s="37" t="s">
        <v>463</v>
      </c>
      <c r="BJ194" s="1" t="s">
        <v>942</v>
      </c>
      <c r="BK194" s="34" t="s">
        <v>4</v>
      </c>
      <c r="BL194" s="1" t="s">
        <v>4</v>
      </c>
      <c r="BM194" s="37" t="s">
        <v>397</v>
      </c>
      <c r="BN194" s="37" t="s">
        <v>397</v>
      </c>
      <c r="BO194" s="37" t="s">
        <v>595</v>
      </c>
      <c r="BP194" s="37" t="s">
        <v>397</v>
      </c>
      <c r="BQ194" s="37" t="s">
        <v>397</v>
      </c>
      <c r="BR194" s="37" t="s">
        <v>405</v>
      </c>
      <c r="BS194" s="37" t="s">
        <v>405</v>
      </c>
      <c r="BT194" s="1" t="s">
        <v>943</v>
      </c>
      <c r="BU194" s="1" t="s">
        <v>944</v>
      </c>
      <c r="BV194" s="1" t="s">
        <v>945</v>
      </c>
      <c r="BW194" s="37" t="s">
        <v>402</v>
      </c>
    </row>
    <row r="195" customFormat="false" ht="14.9" hidden="false" customHeight="false" outlineLevel="0" collapsed="false">
      <c r="A195" s="1" t="s">
        <v>956</v>
      </c>
      <c r="B195" s="51" t="s">
        <v>130</v>
      </c>
      <c r="C195" s="37" t="s">
        <v>129</v>
      </c>
      <c r="D195" s="37" t="n">
        <f aca="false">INDEX(Strain_IDs!C:C,MATCH(Table1[[#This Row],[Strains]],Strain_IDs!D:D,0))</f>
        <v>7</v>
      </c>
      <c r="E195" s="37" t="s">
        <v>382</v>
      </c>
      <c r="F195" s="37" t="s">
        <v>20</v>
      </c>
      <c r="G195" s="37" t="s">
        <v>21</v>
      </c>
      <c r="H195" s="37" t="s">
        <v>27</v>
      </c>
      <c r="I195" s="37" t="s">
        <v>455</v>
      </c>
      <c r="J195" s="37" t="s">
        <v>480</v>
      </c>
      <c r="K195" s="37" t="s">
        <v>384</v>
      </c>
      <c r="L195" s="37" t="s">
        <v>20</v>
      </c>
      <c r="M195" s="37" t="s">
        <v>385</v>
      </c>
      <c r="N195" s="37" t="s">
        <v>27</v>
      </c>
      <c r="O195" s="40" t="s">
        <v>455</v>
      </c>
      <c r="P195" s="40" t="s">
        <v>480</v>
      </c>
      <c r="Q195" s="37" t="s">
        <v>456</v>
      </c>
      <c r="R195" s="37" t="s">
        <v>62</v>
      </c>
      <c r="S195" s="37" t="s">
        <v>63</v>
      </c>
      <c r="T195" s="37" t="s">
        <v>387</v>
      </c>
      <c r="U195" s="37" t="s">
        <v>133</v>
      </c>
      <c r="V195" s="37" t="s">
        <v>134</v>
      </c>
      <c r="W195" s="37" t="s">
        <v>957</v>
      </c>
      <c r="X195" s="1" t="n">
        <v>28</v>
      </c>
      <c r="AB195" s="1" t="n">
        <v>0.08</v>
      </c>
      <c r="AF195" s="1" t="s">
        <v>939</v>
      </c>
      <c r="AG195" s="62" t="s">
        <v>446</v>
      </c>
      <c r="AH195" s="52" t="s">
        <v>940</v>
      </c>
      <c r="AJ195" s="1" t="s">
        <v>941</v>
      </c>
      <c r="AK195" s="37" t="n">
        <f aca="false">SUM(Table1[[#This Row],[reported_1302]:[reported_1286_iso]])</f>
        <v>0.999</v>
      </c>
      <c r="AL195" s="53" t="n">
        <v>0.041</v>
      </c>
      <c r="AM195" s="53" t="n">
        <v>0.038</v>
      </c>
      <c r="AN195" s="53" t="n">
        <v>0.125</v>
      </c>
      <c r="AO195" s="53" t="n">
        <v>0.033</v>
      </c>
      <c r="AP195" s="53" t="n">
        <v>0.729</v>
      </c>
      <c r="AQ195" s="53" t="n">
        <v>0</v>
      </c>
      <c r="AR195" s="53" t="n">
        <v>0.033</v>
      </c>
      <c r="BA195" s="64" t="n">
        <f aca="false">AL195/SUM($AL195:$AQ195)</f>
        <v>0.0424430641821946</v>
      </c>
      <c r="BB195" s="64" t="n">
        <f aca="false">AM195/SUM($AL195:$AQ195)</f>
        <v>0.0393374741200828</v>
      </c>
      <c r="BC195" s="64" t="n">
        <f aca="false">AN195/SUM($AL195:$AQ195)</f>
        <v>0.129399585921325</v>
      </c>
      <c r="BD195" s="64" t="n">
        <f aca="false">AO195/SUM($AL195:$AQ195)</f>
        <v>0.0341614906832298</v>
      </c>
      <c r="BE195" s="64" t="n">
        <f aca="false">AP195/SUM($AL195:$AQ195)</f>
        <v>0.754658385093168</v>
      </c>
      <c r="BF195" s="64" t="n">
        <f aca="false">AQ195/SUM($AL195:$AQ195)</f>
        <v>0</v>
      </c>
      <c r="BG195" s="65" t="e">
        <f aca="false">#N/A</f>
        <v>#N/A</v>
      </c>
      <c r="BH195" s="37" t="s">
        <v>393</v>
      </c>
      <c r="BI195" s="37" t="s">
        <v>463</v>
      </c>
      <c r="BJ195" s="1" t="s">
        <v>942</v>
      </c>
      <c r="BK195" s="34" t="s">
        <v>4</v>
      </c>
      <c r="BL195" s="1" t="s">
        <v>4</v>
      </c>
      <c r="BM195" s="37" t="s">
        <v>397</v>
      </c>
      <c r="BN195" s="37" t="s">
        <v>397</v>
      </c>
      <c r="BO195" s="37" t="s">
        <v>595</v>
      </c>
      <c r="BP195" s="37" t="s">
        <v>397</v>
      </c>
      <c r="BQ195" s="37" t="s">
        <v>397</v>
      </c>
      <c r="BR195" s="37" t="s">
        <v>405</v>
      </c>
      <c r="BS195" s="37" t="s">
        <v>405</v>
      </c>
      <c r="BT195" s="1" t="s">
        <v>943</v>
      </c>
      <c r="BU195" s="1" t="s">
        <v>944</v>
      </c>
      <c r="BV195" s="1" t="s">
        <v>945</v>
      </c>
      <c r="BW195" s="37" t="s">
        <v>402</v>
      </c>
    </row>
    <row r="196" customFormat="false" ht="14.9" hidden="false" customHeight="false" outlineLevel="0" collapsed="false">
      <c r="A196" s="1" t="s">
        <v>958</v>
      </c>
      <c r="B196" s="51" t="s">
        <v>130</v>
      </c>
      <c r="C196" s="37" t="s">
        <v>129</v>
      </c>
      <c r="D196" s="37" t="n">
        <f aca="false">INDEX(Strain_IDs!C:C,MATCH(Table1[[#This Row],[Strains]],Strain_IDs!D:D,0))</f>
        <v>7</v>
      </c>
      <c r="E196" s="37" t="s">
        <v>382</v>
      </c>
      <c r="F196" s="37" t="s">
        <v>20</v>
      </c>
      <c r="G196" s="37" t="s">
        <v>21</v>
      </c>
      <c r="H196" s="37" t="s">
        <v>27</v>
      </c>
      <c r="I196" s="37" t="s">
        <v>455</v>
      </c>
      <c r="J196" s="37" t="s">
        <v>480</v>
      </c>
      <c r="K196" s="37" t="s">
        <v>384</v>
      </c>
      <c r="L196" s="37" t="s">
        <v>20</v>
      </c>
      <c r="M196" s="37" t="s">
        <v>385</v>
      </c>
      <c r="N196" s="37" t="s">
        <v>27</v>
      </c>
      <c r="O196" s="40" t="s">
        <v>455</v>
      </c>
      <c r="P196" s="40" t="s">
        <v>480</v>
      </c>
      <c r="Q196" s="37" t="s">
        <v>456</v>
      </c>
      <c r="R196" s="37" t="s">
        <v>62</v>
      </c>
      <c r="S196" s="37" t="s">
        <v>63</v>
      </c>
      <c r="T196" s="37" t="s">
        <v>387</v>
      </c>
      <c r="U196" s="37" t="s">
        <v>133</v>
      </c>
      <c r="V196" s="37" t="s">
        <v>134</v>
      </c>
      <c r="W196" s="37" t="s">
        <v>959</v>
      </c>
      <c r="X196" s="1" t="n">
        <v>28</v>
      </c>
      <c r="AB196" s="1" t="n">
        <v>0.05</v>
      </c>
      <c r="AF196" s="1" t="s">
        <v>939</v>
      </c>
      <c r="AG196" s="62" t="s">
        <v>446</v>
      </c>
      <c r="AH196" s="52" t="s">
        <v>940</v>
      </c>
      <c r="AJ196" s="1" t="s">
        <v>941</v>
      </c>
      <c r="AK196" s="37" t="n">
        <f aca="false">SUM(Table1[[#This Row],[reported_1302]:[reported_1286_iso]])</f>
        <v>1.001</v>
      </c>
      <c r="AL196" s="53" t="n">
        <v>0.04</v>
      </c>
      <c r="AM196" s="53" t="n">
        <v>0.034</v>
      </c>
      <c r="AN196" s="53" t="n">
        <v>0.113</v>
      </c>
      <c r="AO196" s="53" t="n">
        <v>0.034</v>
      </c>
      <c r="AP196" s="53" t="n">
        <v>0.754</v>
      </c>
      <c r="AQ196" s="53" t="n">
        <v>0</v>
      </c>
      <c r="AR196" s="53" t="n">
        <v>0.026</v>
      </c>
      <c r="BA196" s="64" t="n">
        <f aca="false">AL196/SUM($AL196:$AQ196)</f>
        <v>0.041025641025641</v>
      </c>
      <c r="BB196" s="64" t="n">
        <f aca="false">AM196/SUM($AL196:$AQ196)</f>
        <v>0.0348717948717949</v>
      </c>
      <c r="BC196" s="64" t="n">
        <f aca="false">AN196/SUM($AL196:$AQ196)</f>
        <v>0.115897435897436</v>
      </c>
      <c r="BD196" s="64" t="n">
        <f aca="false">AO196/SUM($AL196:$AQ196)</f>
        <v>0.0348717948717949</v>
      </c>
      <c r="BE196" s="64" t="n">
        <f aca="false">AP196/SUM($AL196:$AQ196)</f>
        <v>0.773333333333333</v>
      </c>
      <c r="BF196" s="64" t="n">
        <f aca="false">AQ196/SUM($AL196:$AQ196)</f>
        <v>0</v>
      </c>
      <c r="BG196" s="65" t="e">
        <f aca="false">#N/A</f>
        <v>#N/A</v>
      </c>
      <c r="BH196" s="37" t="s">
        <v>393</v>
      </c>
      <c r="BI196" s="37" t="s">
        <v>463</v>
      </c>
      <c r="BJ196" s="1" t="s">
        <v>942</v>
      </c>
      <c r="BK196" s="34" t="s">
        <v>4</v>
      </c>
      <c r="BL196" s="1" t="s">
        <v>4</v>
      </c>
      <c r="BM196" s="37" t="s">
        <v>397</v>
      </c>
      <c r="BN196" s="37" t="s">
        <v>397</v>
      </c>
      <c r="BO196" s="37" t="s">
        <v>595</v>
      </c>
      <c r="BP196" s="37" t="s">
        <v>397</v>
      </c>
      <c r="BQ196" s="37" t="s">
        <v>397</v>
      </c>
      <c r="BR196" s="37" t="s">
        <v>405</v>
      </c>
      <c r="BS196" s="37" t="s">
        <v>405</v>
      </c>
      <c r="BT196" s="1" t="s">
        <v>943</v>
      </c>
      <c r="BU196" s="1" t="s">
        <v>944</v>
      </c>
      <c r="BV196" s="1" t="s">
        <v>945</v>
      </c>
      <c r="BW196" s="37" t="s">
        <v>402</v>
      </c>
    </row>
    <row r="197" customFormat="false" ht="14.9" hidden="false" customHeight="false" outlineLevel="0" collapsed="false">
      <c r="A197" s="1" t="s">
        <v>960</v>
      </c>
      <c r="B197" s="51" t="s">
        <v>130</v>
      </c>
      <c r="C197" s="37" t="s">
        <v>129</v>
      </c>
      <c r="D197" s="37" t="n">
        <f aca="false">INDEX(Strain_IDs!C:C,MATCH(Table1[[#This Row],[Strains]],Strain_IDs!D:D,0))</f>
        <v>7</v>
      </c>
      <c r="E197" s="37" t="s">
        <v>382</v>
      </c>
      <c r="F197" s="37" t="s">
        <v>20</v>
      </c>
      <c r="G197" s="37" t="s">
        <v>21</v>
      </c>
      <c r="H197" s="37" t="s">
        <v>27</v>
      </c>
      <c r="I197" s="37" t="s">
        <v>455</v>
      </c>
      <c r="J197" s="37" t="s">
        <v>480</v>
      </c>
      <c r="K197" s="37" t="s">
        <v>384</v>
      </c>
      <c r="L197" s="37" t="s">
        <v>20</v>
      </c>
      <c r="M197" s="37" t="s">
        <v>385</v>
      </c>
      <c r="N197" s="37" t="s">
        <v>27</v>
      </c>
      <c r="O197" s="40" t="s">
        <v>455</v>
      </c>
      <c r="P197" s="40" t="s">
        <v>480</v>
      </c>
      <c r="Q197" s="37" t="s">
        <v>456</v>
      </c>
      <c r="R197" s="37" t="s">
        <v>62</v>
      </c>
      <c r="S197" s="37" t="s">
        <v>63</v>
      </c>
      <c r="T197" s="37" t="s">
        <v>387</v>
      </c>
      <c r="U197" s="37" t="s">
        <v>133</v>
      </c>
      <c r="V197" s="37" t="s">
        <v>134</v>
      </c>
      <c r="W197" s="37" t="s">
        <v>961</v>
      </c>
      <c r="X197" s="1" t="n">
        <v>28</v>
      </c>
      <c r="AB197" s="1" t="n">
        <v>0.05</v>
      </c>
      <c r="AF197" s="1" t="s">
        <v>939</v>
      </c>
      <c r="AG197" s="62" t="s">
        <v>446</v>
      </c>
      <c r="AH197" s="52" t="s">
        <v>940</v>
      </c>
      <c r="AJ197" s="1" t="s">
        <v>941</v>
      </c>
      <c r="AK197" s="37" t="n">
        <f aca="false">SUM(Table1[[#This Row],[reported_1302]:[reported_1286_iso]])</f>
        <v>1</v>
      </c>
      <c r="AL197" s="53" t="n">
        <v>0.029</v>
      </c>
      <c r="AM197" s="53" t="n">
        <v>0.039</v>
      </c>
      <c r="AN197" s="53" t="n">
        <v>0.166</v>
      </c>
      <c r="AO197" s="53" t="n">
        <v>0.029</v>
      </c>
      <c r="AP197" s="53" t="n">
        <v>0.726</v>
      </c>
      <c r="AQ197" s="53" t="n">
        <v>0</v>
      </c>
      <c r="AR197" s="53" t="n">
        <v>0.011</v>
      </c>
      <c r="BA197" s="64" t="n">
        <f aca="false">AL197/SUM($AL197:$AQ197)</f>
        <v>0.0293225480283114</v>
      </c>
      <c r="BB197" s="64" t="n">
        <f aca="false">AM197/SUM($AL197:$AQ197)</f>
        <v>0.0394337714863499</v>
      </c>
      <c r="BC197" s="64" t="n">
        <f aca="false">AN197/SUM($AL197:$AQ197)</f>
        <v>0.167846309403438</v>
      </c>
      <c r="BD197" s="64" t="n">
        <f aca="false">AO197/SUM($AL197:$AQ197)</f>
        <v>0.0293225480283114</v>
      </c>
      <c r="BE197" s="64" t="n">
        <f aca="false">AP197/SUM($AL197:$AQ197)</f>
        <v>0.73407482305359</v>
      </c>
      <c r="BF197" s="64" t="n">
        <f aca="false">AQ197/SUM($AL197:$AQ197)</f>
        <v>0</v>
      </c>
      <c r="BG197" s="65" t="e">
        <f aca="false">#N/A</f>
        <v>#N/A</v>
      </c>
      <c r="BH197" s="37" t="s">
        <v>393</v>
      </c>
      <c r="BI197" s="37" t="s">
        <v>463</v>
      </c>
      <c r="BJ197" s="1" t="s">
        <v>942</v>
      </c>
      <c r="BK197" s="34" t="s">
        <v>4</v>
      </c>
      <c r="BL197" s="1" t="s">
        <v>4</v>
      </c>
      <c r="BM197" s="37" t="s">
        <v>397</v>
      </c>
      <c r="BN197" s="37" t="s">
        <v>397</v>
      </c>
      <c r="BO197" s="37" t="s">
        <v>595</v>
      </c>
      <c r="BP197" s="37" t="s">
        <v>397</v>
      </c>
      <c r="BQ197" s="37" t="s">
        <v>397</v>
      </c>
      <c r="BR197" s="37" t="s">
        <v>405</v>
      </c>
      <c r="BS197" s="37" t="s">
        <v>405</v>
      </c>
      <c r="BT197" s="1" t="s">
        <v>943</v>
      </c>
      <c r="BU197" s="1" t="s">
        <v>944</v>
      </c>
      <c r="BV197" s="1" t="s">
        <v>945</v>
      </c>
      <c r="BW197" s="37" t="s">
        <v>402</v>
      </c>
    </row>
    <row r="198" customFormat="false" ht="14.9" hidden="false" customHeight="false" outlineLevel="0" collapsed="false">
      <c r="A198" s="1" t="s">
        <v>962</v>
      </c>
      <c r="B198" s="51" t="s">
        <v>130</v>
      </c>
      <c r="C198" s="37" t="s">
        <v>129</v>
      </c>
      <c r="D198" s="37" t="n">
        <f aca="false">INDEX(Strain_IDs!C:C,MATCH(Table1[[#This Row],[Strains]],Strain_IDs!D:D,0))</f>
        <v>7</v>
      </c>
      <c r="E198" s="37" t="s">
        <v>382</v>
      </c>
      <c r="F198" s="37" t="s">
        <v>20</v>
      </c>
      <c r="G198" s="37" t="s">
        <v>21</v>
      </c>
      <c r="H198" s="37" t="s">
        <v>27</v>
      </c>
      <c r="I198" s="37" t="s">
        <v>455</v>
      </c>
      <c r="J198" s="37" t="s">
        <v>480</v>
      </c>
      <c r="K198" s="37" t="s">
        <v>384</v>
      </c>
      <c r="L198" s="37" t="s">
        <v>20</v>
      </c>
      <c r="M198" s="37" t="s">
        <v>385</v>
      </c>
      <c r="N198" s="37" t="s">
        <v>27</v>
      </c>
      <c r="O198" s="40" t="s">
        <v>455</v>
      </c>
      <c r="P198" s="40" t="s">
        <v>480</v>
      </c>
      <c r="Q198" s="37" t="s">
        <v>456</v>
      </c>
      <c r="R198" s="37" t="s">
        <v>62</v>
      </c>
      <c r="S198" s="37" t="s">
        <v>63</v>
      </c>
      <c r="T198" s="37" t="s">
        <v>387</v>
      </c>
      <c r="U198" s="37" t="s">
        <v>133</v>
      </c>
      <c r="V198" s="37" t="s">
        <v>134</v>
      </c>
      <c r="W198" s="37" t="s">
        <v>963</v>
      </c>
      <c r="X198" s="1" t="n">
        <v>28</v>
      </c>
      <c r="AB198" s="1" t="n">
        <v>0</v>
      </c>
      <c r="AF198" s="1" t="s">
        <v>939</v>
      </c>
      <c r="AG198" s="62" t="s">
        <v>446</v>
      </c>
      <c r="AH198" s="52" t="s">
        <v>940</v>
      </c>
      <c r="AJ198" s="1" t="s">
        <v>941</v>
      </c>
      <c r="AK198" s="37" t="n">
        <f aca="false">SUM(Table1[[#This Row],[reported_1302]:[reported_1286_iso]])</f>
        <v>1.001</v>
      </c>
      <c r="AL198" s="53" t="n">
        <v>0.025</v>
      </c>
      <c r="AM198" s="53" t="n">
        <v>0.025</v>
      </c>
      <c r="AN198" s="53" t="n">
        <v>0.128</v>
      </c>
      <c r="AO198" s="53" t="n">
        <v>0.022</v>
      </c>
      <c r="AP198" s="53" t="n">
        <v>0.757</v>
      </c>
      <c r="AQ198" s="53" t="n">
        <v>0</v>
      </c>
      <c r="AR198" s="53" t="n">
        <v>0.044</v>
      </c>
      <c r="BA198" s="64" t="n">
        <f aca="false">AL198/SUM($AL198:$AQ198)</f>
        <v>0.026123301985371</v>
      </c>
      <c r="BB198" s="64" t="n">
        <f aca="false">AM198/SUM($AL198:$AQ198)</f>
        <v>0.026123301985371</v>
      </c>
      <c r="BC198" s="64" t="n">
        <f aca="false">AN198/SUM($AL198:$AQ198)</f>
        <v>0.133751306165099</v>
      </c>
      <c r="BD198" s="64" t="n">
        <f aca="false">AO198/SUM($AL198:$AQ198)</f>
        <v>0.0229885057471264</v>
      </c>
      <c r="BE198" s="64" t="n">
        <f aca="false">AP198/SUM($AL198:$AQ198)</f>
        <v>0.791013584117032</v>
      </c>
      <c r="BF198" s="64" t="n">
        <f aca="false">AQ198/SUM($AL198:$AQ198)</f>
        <v>0</v>
      </c>
      <c r="BG198" s="65" t="e">
        <f aca="false">#N/A</f>
        <v>#N/A</v>
      </c>
      <c r="BH198" s="37" t="s">
        <v>393</v>
      </c>
      <c r="BI198" s="37" t="s">
        <v>463</v>
      </c>
      <c r="BJ198" s="1" t="s">
        <v>942</v>
      </c>
      <c r="BK198" s="34" t="s">
        <v>4</v>
      </c>
      <c r="BL198" s="1" t="s">
        <v>4</v>
      </c>
      <c r="BM198" s="37" t="s">
        <v>397</v>
      </c>
      <c r="BN198" s="37" t="s">
        <v>397</v>
      </c>
      <c r="BO198" s="37" t="s">
        <v>595</v>
      </c>
      <c r="BP198" s="37" t="s">
        <v>397</v>
      </c>
      <c r="BQ198" s="37" t="s">
        <v>397</v>
      </c>
      <c r="BR198" s="37" t="s">
        <v>405</v>
      </c>
      <c r="BS198" s="37" t="s">
        <v>405</v>
      </c>
      <c r="BT198" s="1" t="s">
        <v>943</v>
      </c>
      <c r="BU198" s="1" t="s">
        <v>944</v>
      </c>
      <c r="BV198" s="1" t="s">
        <v>945</v>
      </c>
      <c r="BW198" s="37" t="s">
        <v>402</v>
      </c>
    </row>
    <row r="199" customFormat="false" ht="14.9" hidden="false" customHeight="false" outlineLevel="0" collapsed="false">
      <c r="A199" s="1" t="s">
        <v>964</v>
      </c>
      <c r="B199" s="51" t="s">
        <v>130</v>
      </c>
      <c r="C199" s="37" t="s">
        <v>129</v>
      </c>
      <c r="D199" s="37" t="n">
        <f aca="false">INDEX(Strain_IDs!C:C,MATCH(Table1[[#This Row],[Strains]],Strain_IDs!D:D,0))</f>
        <v>7</v>
      </c>
      <c r="E199" s="37" t="s">
        <v>382</v>
      </c>
      <c r="F199" s="37" t="s">
        <v>20</v>
      </c>
      <c r="G199" s="37" t="s">
        <v>21</v>
      </c>
      <c r="H199" s="37" t="s">
        <v>27</v>
      </c>
      <c r="I199" s="37" t="s">
        <v>455</v>
      </c>
      <c r="J199" s="37" t="s">
        <v>480</v>
      </c>
      <c r="K199" s="37" t="s">
        <v>384</v>
      </c>
      <c r="L199" s="37" t="s">
        <v>20</v>
      </c>
      <c r="M199" s="37" t="s">
        <v>385</v>
      </c>
      <c r="N199" s="37" t="s">
        <v>27</v>
      </c>
      <c r="O199" s="40" t="s">
        <v>455</v>
      </c>
      <c r="P199" s="40" t="s">
        <v>480</v>
      </c>
      <c r="Q199" s="37" t="s">
        <v>456</v>
      </c>
      <c r="R199" s="37" t="s">
        <v>62</v>
      </c>
      <c r="S199" s="37" t="s">
        <v>63</v>
      </c>
      <c r="T199" s="37" t="s">
        <v>387</v>
      </c>
      <c r="U199" s="37" t="s">
        <v>133</v>
      </c>
      <c r="V199" s="37" t="s">
        <v>134</v>
      </c>
      <c r="W199" s="37" t="s">
        <v>965</v>
      </c>
      <c r="X199" s="1" t="n">
        <v>28</v>
      </c>
      <c r="AB199" s="1" t="n">
        <v>1.27</v>
      </c>
      <c r="AF199" s="1" t="s">
        <v>966</v>
      </c>
      <c r="AG199" s="62" t="s">
        <v>446</v>
      </c>
      <c r="AH199" s="52" t="s">
        <v>940</v>
      </c>
      <c r="AJ199" s="1" t="s">
        <v>941</v>
      </c>
      <c r="AK199" s="37" t="n">
        <f aca="false">SUM(Table1[[#This Row],[reported_1302]:[reported_1286_iso]])</f>
        <v>1</v>
      </c>
      <c r="AL199" s="53" t="n">
        <v>0.051</v>
      </c>
      <c r="AM199" s="53" t="n">
        <v>0.06</v>
      </c>
      <c r="AN199" s="53" t="n">
        <v>0.135</v>
      </c>
      <c r="AO199" s="53" t="n">
        <v>0.031</v>
      </c>
      <c r="AP199" s="53" t="n">
        <v>0.693</v>
      </c>
      <c r="AQ199" s="53" t="n">
        <v>0</v>
      </c>
      <c r="AR199" s="53" t="n">
        <v>0.03</v>
      </c>
      <c r="BA199" s="64" t="n">
        <f aca="false">AL199/SUM($AL199:$AQ199)</f>
        <v>0.0525773195876289</v>
      </c>
      <c r="BB199" s="64" t="n">
        <f aca="false">AM199/SUM($AL199:$AQ199)</f>
        <v>0.0618556701030928</v>
      </c>
      <c r="BC199" s="64" t="n">
        <f aca="false">AN199/SUM($AL199:$AQ199)</f>
        <v>0.139175257731959</v>
      </c>
      <c r="BD199" s="64" t="n">
        <f aca="false">AO199/SUM($AL199:$AQ199)</f>
        <v>0.0319587628865979</v>
      </c>
      <c r="BE199" s="64" t="n">
        <f aca="false">AP199/SUM($AL199:$AQ199)</f>
        <v>0.714432989690722</v>
      </c>
      <c r="BF199" s="64" t="n">
        <f aca="false">AQ199/SUM($AL199:$AQ199)</f>
        <v>0</v>
      </c>
      <c r="BG199" s="65" t="e">
        <f aca="false">#N/A</f>
        <v>#N/A</v>
      </c>
      <c r="BH199" s="37" t="s">
        <v>393</v>
      </c>
      <c r="BI199" s="37" t="s">
        <v>463</v>
      </c>
      <c r="BJ199" s="1" t="s">
        <v>942</v>
      </c>
      <c r="BK199" s="34" t="s">
        <v>4</v>
      </c>
      <c r="BL199" s="1" t="s">
        <v>4</v>
      </c>
      <c r="BM199" s="37" t="s">
        <v>397</v>
      </c>
      <c r="BN199" s="37" t="s">
        <v>397</v>
      </c>
      <c r="BO199" s="37" t="s">
        <v>595</v>
      </c>
      <c r="BP199" s="37" t="s">
        <v>397</v>
      </c>
      <c r="BQ199" s="37" t="s">
        <v>397</v>
      </c>
      <c r="BR199" s="37" t="s">
        <v>405</v>
      </c>
      <c r="BS199" s="37" t="s">
        <v>405</v>
      </c>
      <c r="BT199" s="1" t="s">
        <v>943</v>
      </c>
      <c r="BU199" s="1" t="s">
        <v>944</v>
      </c>
      <c r="BV199" s="1" t="s">
        <v>945</v>
      </c>
      <c r="BW199" s="37" t="s">
        <v>402</v>
      </c>
    </row>
    <row r="200" customFormat="false" ht="14.9" hidden="false" customHeight="false" outlineLevel="0" collapsed="false">
      <c r="A200" s="1" t="s">
        <v>967</v>
      </c>
      <c r="B200" s="51" t="s">
        <v>130</v>
      </c>
      <c r="C200" s="37" t="s">
        <v>129</v>
      </c>
      <c r="D200" s="37" t="n">
        <f aca="false">INDEX(Strain_IDs!C:C,MATCH(Table1[[#This Row],[Strains]],Strain_IDs!D:D,0))</f>
        <v>7</v>
      </c>
      <c r="E200" s="37" t="s">
        <v>382</v>
      </c>
      <c r="F200" s="37" t="s">
        <v>20</v>
      </c>
      <c r="G200" s="37" t="s">
        <v>21</v>
      </c>
      <c r="H200" s="37" t="s">
        <v>27</v>
      </c>
      <c r="I200" s="37" t="s">
        <v>455</v>
      </c>
      <c r="J200" s="37" t="s">
        <v>480</v>
      </c>
      <c r="K200" s="37" t="s">
        <v>384</v>
      </c>
      <c r="L200" s="37" t="s">
        <v>20</v>
      </c>
      <c r="M200" s="37" t="s">
        <v>385</v>
      </c>
      <c r="N200" s="37" t="s">
        <v>27</v>
      </c>
      <c r="O200" s="40" t="s">
        <v>455</v>
      </c>
      <c r="P200" s="40" t="s">
        <v>480</v>
      </c>
      <c r="Q200" s="37" t="s">
        <v>456</v>
      </c>
      <c r="R200" s="37" t="s">
        <v>62</v>
      </c>
      <c r="S200" s="37" t="s">
        <v>63</v>
      </c>
      <c r="T200" s="37" t="s">
        <v>387</v>
      </c>
      <c r="U200" s="37" t="s">
        <v>133</v>
      </c>
      <c r="V200" s="37" t="s">
        <v>134</v>
      </c>
      <c r="W200" s="37" t="s">
        <v>968</v>
      </c>
      <c r="X200" s="1" t="n">
        <v>28</v>
      </c>
      <c r="AB200" s="1" t="n">
        <v>1.18</v>
      </c>
      <c r="AF200" s="1" t="s">
        <v>966</v>
      </c>
      <c r="AG200" s="62" t="s">
        <v>446</v>
      </c>
      <c r="AH200" s="52" t="s">
        <v>940</v>
      </c>
      <c r="AJ200" s="1" t="s">
        <v>941</v>
      </c>
      <c r="AK200" s="37" t="n">
        <f aca="false">SUM(Table1[[#This Row],[reported_1302]:[reported_1286_iso]])</f>
        <v>0.999</v>
      </c>
      <c r="AL200" s="53" t="n">
        <v>0.067</v>
      </c>
      <c r="AM200" s="53" t="n">
        <v>0.053</v>
      </c>
      <c r="AN200" s="53" t="n">
        <v>0.114</v>
      </c>
      <c r="AO200" s="53" t="n">
        <v>0.029</v>
      </c>
      <c r="AP200" s="53" t="n">
        <v>0.7</v>
      </c>
      <c r="AQ200" s="53" t="n">
        <v>0</v>
      </c>
      <c r="AR200" s="53" t="n">
        <v>0.036</v>
      </c>
      <c r="BA200" s="64" t="n">
        <f aca="false">AL200/SUM($AL200:$AQ200)</f>
        <v>0.0695742471443406</v>
      </c>
      <c r="BB200" s="64" t="n">
        <f aca="false">AM200/SUM($AL200:$AQ200)</f>
        <v>0.0550363447559709</v>
      </c>
      <c r="BC200" s="64" t="n">
        <f aca="false">AN200/SUM($AL200:$AQ200)</f>
        <v>0.118380062305296</v>
      </c>
      <c r="BD200" s="64" t="n">
        <f aca="false">AO200/SUM($AL200:$AQ200)</f>
        <v>0.0301142263759086</v>
      </c>
      <c r="BE200" s="64" t="n">
        <f aca="false">AP200/SUM($AL200:$AQ200)</f>
        <v>0.726895119418484</v>
      </c>
      <c r="BF200" s="64" t="n">
        <f aca="false">AQ200/SUM($AL200:$AQ200)</f>
        <v>0</v>
      </c>
      <c r="BG200" s="65" t="e">
        <f aca="false">#N/A</f>
        <v>#N/A</v>
      </c>
      <c r="BH200" s="37" t="s">
        <v>393</v>
      </c>
      <c r="BI200" s="37" t="s">
        <v>463</v>
      </c>
      <c r="BJ200" s="1" t="s">
        <v>942</v>
      </c>
      <c r="BK200" s="34" t="s">
        <v>4</v>
      </c>
      <c r="BL200" s="1" t="s">
        <v>4</v>
      </c>
      <c r="BM200" s="37" t="s">
        <v>397</v>
      </c>
      <c r="BN200" s="37" t="s">
        <v>397</v>
      </c>
      <c r="BO200" s="37" t="s">
        <v>595</v>
      </c>
      <c r="BP200" s="37" t="s">
        <v>397</v>
      </c>
      <c r="BQ200" s="37" t="s">
        <v>397</v>
      </c>
      <c r="BR200" s="37" t="s">
        <v>405</v>
      </c>
      <c r="BS200" s="37" t="s">
        <v>405</v>
      </c>
      <c r="BT200" s="1" t="s">
        <v>943</v>
      </c>
      <c r="BU200" s="1" t="s">
        <v>944</v>
      </c>
      <c r="BV200" s="1" t="s">
        <v>945</v>
      </c>
      <c r="BW200" s="37" t="s">
        <v>402</v>
      </c>
    </row>
    <row r="201" customFormat="false" ht="14.9" hidden="false" customHeight="false" outlineLevel="0" collapsed="false">
      <c r="A201" s="1" t="s">
        <v>969</v>
      </c>
      <c r="B201" s="51" t="s">
        <v>130</v>
      </c>
      <c r="C201" s="37" t="s">
        <v>129</v>
      </c>
      <c r="D201" s="37" t="n">
        <f aca="false">INDEX(Strain_IDs!C:C,MATCH(Table1[[#This Row],[Strains]],Strain_IDs!D:D,0))</f>
        <v>7</v>
      </c>
      <c r="E201" s="37" t="s">
        <v>382</v>
      </c>
      <c r="F201" s="37" t="s">
        <v>20</v>
      </c>
      <c r="G201" s="37" t="s">
        <v>21</v>
      </c>
      <c r="H201" s="37" t="s">
        <v>27</v>
      </c>
      <c r="I201" s="37" t="s">
        <v>455</v>
      </c>
      <c r="J201" s="37" t="s">
        <v>480</v>
      </c>
      <c r="K201" s="37" t="s">
        <v>384</v>
      </c>
      <c r="L201" s="37" t="s">
        <v>20</v>
      </c>
      <c r="M201" s="37" t="s">
        <v>385</v>
      </c>
      <c r="N201" s="37" t="s">
        <v>27</v>
      </c>
      <c r="O201" s="40" t="s">
        <v>455</v>
      </c>
      <c r="P201" s="40" t="s">
        <v>480</v>
      </c>
      <c r="Q201" s="37" t="s">
        <v>456</v>
      </c>
      <c r="R201" s="37" t="s">
        <v>62</v>
      </c>
      <c r="S201" s="37" t="s">
        <v>63</v>
      </c>
      <c r="T201" s="37" t="s">
        <v>387</v>
      </c>
      <c r="U201" s="37" t="s">
        <v>133</v>
      </c>
      <c r="V201" s="37" t="s">
        <v>134</v>
      </c>
      <c r="W201" s="37" t="s">
        <v>970</v>
      </c>
      <c r="X201" s="1" t="n">
        <v>28</v>
      </c>
      <c r="AB201" s="1" t="n">
        <v>1.05</v>
      </c>
      <c r="AF201" s="1" t="s">
        <v>966</v>
      </c>
      <c r="AG201" s="62" t="s">
        <v>446</v>
      </c>
      <c r="AH201" s="52" t="s">
        <v>940</v>
      </c>
      <c r="AJ201" s="1" t="s">
        <v>941</v>
      </c>
      <c r="AK201" s="37" t="n">
        <f aca="false">SUM(Table1[[#This Row],[reported_1302]:[reported_1286_iso]])</f>
        <v>1.001</v>
      </c>
      <c r="AL201" s="53" t="n">
        <v>0.101</v>
      </c>
      <c r="AM201" s="53" t="n">
        <v>0.054</v>
      </c>
      <c r="AN201" s="53" t="n">
        <v>0.108</v>
      </c>
      <c r="AO201" s="53" t="n">
        <v>0.028</v>
      </c>
      <c r="AP201" s="53" t="n">
        <v>0.67</v>
      </c>
      <c r="AQ201" s="53" t="n">
        <v>0</v>
      </c>
      <c r="AR201" s="53" t="n">
        <v>0.04</v>
      </c>
      <c r="BA201" s="64" t="n">
        <f aca="false">AL201/SUM($AL201:$AQ201)</f>
        <v>0.105098855359001</v>
      </c>
      <c r="BB201" s="64" t="n">
        <f aca="false">AM201/SUM($AL201:$AQ201)</f>
        <v>0.0561914672216441</v>
      </c>
      <c r="BC201" s="64" t="n">
        <f aca="false">AN201/SUM($AL201:$AQ201)</f>
        <v>0.112382934443288</v>
      </c>
      <c r="BD201" s="64" t="n">
        <f aca="false">AO201/SUM($AL201:$AQ201)</f>
        <v>0.0291363163371488</v>
      </c>
      <c r="BE201" s="64" t="n">
        <f aca="false">AP201/SUM($AL201:$AQ201)</f>
        <v>0.697190426638918</v>
      </c>
      <c r="BF201" s="64" t="n">
        <f aca="false">AQ201/SUM($AL201:$AQ201)</f>
        <v>0</v>
      </c>
      <c r="BG201" s="65" t="e">
        <f aca="false">#N/A</f>
        <v>#N/A</v>
      </c>
      <c r="BH201" s="37" t="s">
        <v>393</v>
      </c>
      <c r="BI201" s="37" t="s">
        <v>463</v>
      </c>
      <c r="BJ201" s="1" t="s">
        <v>942</v>
      </c>
      <c r="BK201" s="34" t="s">
        <v>4</v>
      </c>
      <c r="BL201" s="1" t="s">
        <v>4</v>
      </c>
      <c r="BM201" s="37" t="s">
        <v>397</v>
      </c>
      <c r="BN201" s="37" t="s">
        <v>397</v>
      </c>
      <c r="BO201" s="37" t="s">
        <v>595</v>
      </c>
      <c r="BP201" s="37" t="s">
        <v>397</v>
      </c>
      <c r="BQ201" s="37" t="s">
        <v>397</v>
      </c>
      <c r="BR201" s="37" t="s">
        <v>405</v>
      </c>
      <c r="BS201" s="37" t="s">
        <v>405</v>
      </c>
      <c r="BT201" s="1" t="s">
        <v>943</v>
      </c>
      <c r="BU201" s="1" t="s">
        <v>944</v>
      </c>
      <c r="BV201" s="1" t="s">
        <v>945</v>
      </c>
      <c r="BW201" s="37" t="s">
        <v>402</v>
      </c>
    </row>
    <row r="202" customFormat="false" ht="14.9" hidden="false" customHeight="false" outlineLevel="0" collapsed="false">
      <c r="A202" s="1" t="s">
        <v>971</v>
      </c>
      <c r="B202" s="51" t="s">
        <v>130</v>
      </c>
      <c r="C202" s="37" t="s">
        <v>129</v>
      </c>
      <c r="D202" s="37" t="n">
        <f aca="false">INDEX(Strain_IDs!C:C,MATCH(Table1[[#This Row],[Strains]],Strain_IDs!D:D,0))</f>
        <v>7</v>
      </c>
      <c r="E202" s="37" t="s">
        <v>382</v>
      </c>
      <c r="F202" s="37" t="s">
        <v>20</v>
      </c>
      <c r="G202" s="37" t="s">
        <v>21</v>
      </c>
      <c r="H202" s="37" t="s">
        <v>27</v>
      </c>
      <c r="I202" s="37" t="s">
        <v>455</v>
      </c>
      <c r="J202" s="37" t="s">
        <v>480</v>
      </c>
      <c r="K202" s="37" t="s">
        <v>384</v>
      </c>
      <c r="L202" s="37" t="s">
        <v>20</v>
      </c>
      <c r="M202" s="37" t="s">
        <v>385</v>
      </c>
      <c r="N202" s="37" t="s">
        <v>27</v>
      </c>
      <c r="O202" s="40" t="s">
        <v>455</v>
      </c>
      <c r="P202" s="40" t="s">
        <v>480</v>
      </c>
      <c r="Q202" s="37" t="s">
        <v>456</v>
      </c>
      <c r="R202" s="37" t="s">
        <v>62</v>
      </c>
      <c r="S202" s="37" t="s">
        <v>63</v>
      </c>
      <c r="T202" s="37" t="s">
        <v>387</v>
      </c>
      <c r="U202" s="37" t="s">
        <v>133</v>
      </c>
      <c r="V202" s="37" t="s">
        <v>134</v>
      </c>
      <c r="W202" s="37" t="s">
        <v>972</v>
      </c>
      <c r="X202" s="1" t="n">
        <v>28</v>
      </c>
      <c r="AB202" s="1" t="n">
        <v>0.88</v>
      </c>
      <c r="AF202" s="1" t="s">
        <v>966</v>
      </c>
      <c r="AG202" s="62" t="s">
        <v>446</v>
      </c>
      <c r="AH202" s="52" t="s">
        <v>940</v>
      </c>
      <c r="AJ202" s="1" t="s">
        <v>941</v>
      </c>
      <c r="AK202" s="37" t="n">
        <f aca="false">SUM(Table1[[#This Row],[reported_1302]:[reported_1286_iso]])</f>
        <v>0.999</v>
      </c>
      <c r="AL202" s="53" t="n">
        <v>0.109</v>
      </c>
      <c r="AM202" s="53" t="n">
        <v>0.057</v>
      </c>
      <c r="AN202" s="53" t="n">
        <v>0.111</v>
      </c>
      <c r="AO202" s="53" t="n">
        <v>0.036</v>
      </c>
      <c r="AP202" s="53" t="n">
        <v>0.646</v>
      </c>
      <c r="AQ202" s="53" t="n">
        <v>0</v>
      </c>
      <c r="AR202" s="53" t="n">
        <v>0.04</v>
      </c>
      <c r="BA202" s="64" t="n">
        <f aca="false">AL202/SUM($AL202:$AQ202)</f>
        <v>0.113660062565172</v>
      </c>
      <c r="BB202" s="64" t="n">
        <f aca="false">AM202/SUM($AL202:$AQ202)</f>
        <v>0.059436913451512</v>
      </c>
      <c r="BC202" s="64" t="n">
        <f aca="false">AN202/SUM($AL202:$AQ202)</f>
        <v>0.115745568300313</v>
      </c>
      <c r="BD202" s="64" t="n">
        <f aca="false">AO202/SUM($AL202:$AQ202)</f>
        <v>0.0375391032325339</v>
      </c>
      <c r="BE202" s="64" t="n">
        <f aca="false">AP202/SUM($AL202:$AQ202)</f>
        <v>0.673618352450469</v>
      </c>
      <c r="BF202" s="64" t="n">
        <f aca="false">AQ202/SUM($AL202:$AQ202)</f>
        <v>0</v>
      </c>
      <c r="BG202" s="65" t="e">
        <f aca="false">#N/A</f>
        <v>#N/A</v>
      </c>
      <c r="BH202" s="37" t="s">
        <v>393</v>
      </c>
      <c r="BI202" s="37" t="s">
        <v>463</v>
      </c>
      <c r="BJ202" s="1" t="s">
        <v>942</v>
      </c>
      <c r="BK202" s="34" t="s">
        <v>4</v>
      </c>
      <c r="BL202" s="1" t="s">
        <v>4</v>
      </c>
      <c r="BM202" s="37" t="s">
        <v>397</v>
      </c>
      <c r="BN202" s="37" t="s">
        <v>397</v>
      </c>
      <c r="BO202" s="37" t="s">
        <v>595</v>
      </c>
      <c r="BP202" s="37" t="s">
        <v>397</v>
      </c>
      <c r="BQ202" s="37" t="s">
        <v>397</v>
      </c>
      <c r="BR202" s="37" t="s">
        <v>405</v>
      </c>
      <c r="BS202" s="37" t="s">
        <v>405</v>
      </c>
      <c r="BT202" s="1" t="s">
        <v>943</v>
      </c>
      <c r="BU202" s="1" t="s">
        <v>944</v>
      </c>
      <c r="BV202" s="1" t="s">
        <v>945</v>
      </c>
      <c r="BW202" s="37" t="s">
        <v>402</v>
      </c>
    </row>
    <row r="203" customFormat="false" ht="14.9" hidden="false" customHeight="false" outlineLevel="0" collapsed="false">
      <c r="A203" s="1" t="s">
        <v>973</v>
      </c>
      <c r="B203" s="51" t="s">
        <v>130</v>
      </c>
      <c r="C203" s="37" t="s">
        <v>129</v>
      </c>
      <c r="D203" s="37" t="n">
        <f aca="false">INDEX(Strain_IDs!C:C,MATCH(Table1[[#This Row],[Strains]],Strain_IDs!D:D,0))</f>
        <v>7</v>
      </c>
      <c r="E203" s="37" t="s">
        <v>382</v>
      </c>
      <c r="F203" s="37" t="s">
        <v>20</v>
      </c>
      <c r="G203" s="37" t="s">
        <v>21</v>
      </c>
      <c r="H203" s="37" t="s">
        <v>27</v>
      </c>
      <c r="I203" s="37" t="s">
        <v>455</v>
      </c>
      <c r="J203" s="37" t="s">
        <v>480</v>
      </c>
      <c r="K203" s="37" t="s">
        <v>384</v>
      </c>
      <c r="L203" s="37" t="s">
        <v>20</v>
      </c>
      <c r="M203" s="37" t="s">
        <v>385</v>
      </c>
      <c r="N203" s="37" t="s">
        <v>27</v>
      </c>
      <c r="O203" s="40" t="s">
        <v>455</v>
      </c>
      <c r="P203" s="40" t="s">
        <v>480</v>
      </c>
      <c r="Q203" s="37" t="s">
        <v>456</v>
      </c>
      <c r="R203" s="37" t="s">
        <v>62</v>
      </c>
      <c r="S203" s="37" t="s">
        <v>63</v>
      </c>
      <c r="T203" s="37" t="s">
        <v>387</v>
      </c>
      <c r="U203" s="37" t="s">
        <v>133</v>
      </c>
      <c r="V203" s="37" t="s">
        <v>134</v>
      </c>
      <c r="W203" s="37" t="s">
        <v>974</v>
      </c>
      <c r="X203" s="1" t="n">
        <v>28</v>
      </c>
      <c r="AB203" s="1" t="n">
        <v>0.67</v>
      </c>
      <c r="AF203" s="1" t="s">
        <v>966</v>
      </c>
      <c r="AG203" s="62" t="s">
        <v>446</v>
      </c>
      <c r="AH203" s="52" t="s">
        <v>940</v>
      </c>
      <c r="AJ203" s="1" t="s">
        <v>941</v>
      </c>
      <c r="AK203" s="37" t="n">
        <f aca="false">SUM(Table1[[#This Row],[reported_1302]:[reported_1286_iso]])</f>
        <v>0.999</v>
      </c>
      <c r="AL203" s="53" t="n">
        <v>0.12</v>
      </c>
      <c r="AM203" s="53" t="n">
        <v>0.076</v>
      </c>
      <c r="AN203" s="53" t="n">
        <v>0.107</v>
      </c>
      <c r="AO203" s="53" t="n">
        <v>0.037</v>
      </c>
      <c r="AP203" s="53" t="n">
        <v>0.622</v>
      </c>
      <c r="AQ203" s="53" t="n">
        <v>0</v>
      </c>
      <c r="AR203" s="53" t="n">
        <v>0.037</v>
      </c>
      <c r="BA203" s="64" t="n">
        <f aca="false">AL203/SUM($AL203:$AQ203)</f>
        <v>0.124740124740125</v>
      </c>
      <c r="BB203" s="64" t="n">
        <f aca="false">AM203/SUM($AL203:$AQ203)</f>
        <v>0.079002079002079</v>
      </c>
      <c r="BC203" s="64" t="n">
        <f aca="false">AN203/SUM($AL203:$AQ203)</f>
        <v>0.111226611226611</v>
      </c>
      <c r="BD203" s="64" t="n">
        <f aca="false">AO203/SUM($AL203:$AQ203)</f>
        <v>0.0384615384615385</v>
      </c>
      <c r="BE203" s="64" t="n">
        <f aca="false">AP203/SUM($AL203:$AQ203)</f>
        <v>0.646569646569647</v>
      </c>
      <c r="BF203" s="64" t="n">
        <f aca="false">AQ203/SUM($AL203:$AQ203)</f>
        <v>0</v>
      </c>
      <c r="BG203" s="65" t="e">
        <f aca="false">#N/A</f>
        <v>#N/A</v>
      </c>
      <c r="BH203" s="37" t="s">
        <v>393</v>
      </c>
      <c r="BI203" s="37" t="s">
        <v>463</v>
      </c>
      <c r="BJ203" s="1" t="s">
        <v>942</v>
      </c>
      <c r="BK203" s="34" t="s">
        <v>4</v>
      </c>
      <c r="BL203" s="1" t="s">
        <v>4</v>
      </c>
      <c r="BM203" s="37" t="s">
        <v>397</v>
      </c>
      <c r="BN203" s="37" t="s">
        <v>397</v>
      </c>
      <c r="BO203" s="37" t="s">
        <v>595</v>
      </c>
      <c r="BP203" s="37" t="s">
        <v>397</v>
      </c>
      <c r="BQ203" s="37" t="s">
        <v>397</v>
      </c>
      <c r="BR203" s="37" t="s">
        <v>405</v>
      </c>
      <c r="BS203" s="37" t="s">
        <v>405</v>
      </c>
      <c r="BT203" s="1" t="s">
        <v>943</v>
      </c>
      <c r="BU203" s="1" t="s">
        <v>944</v>
      </c>
      <c r="BV203" s="1" t="s">
        <v>945</v>
      </c>
      <c r="BW203" s="37" t="s">
        <v>402</v>
      </c>
    </row>
    <row r="204" customFormat="false" ht="14.9" hidden="false" customHeight="false" outlineLevel="0" collapsed="false">
      <c r="A204" s="1" t="s">
        <v>975</v>
      </c>
      <c r="B204" s="51" t="s">
        <v>130</v>
      </c>
      <c r="C204" s="37" t="s">
        <v>129</v>
      </c>
      <c r="D204" s="37" t="n">
        <f aca="false">INDEX(Strain_IDs!C:C,MATCH(Table1[[#This Row],[Strains]],Strain_IDs!D:D,0))</f>
        <v>7</v>
      </c>
      <c r="E204" s="37" t="s">
        <v>382</v>
      </c>
      <c r="F204" s="37" t="s">
        <v>20</v>
      </c>
      <c r="G204" s="37" t="s">
        <v>21</v>
      </c>
      <c r="H204" s="37" t="s">
        <v>27</v>
      </c>
      <c r="I204" s="37" t="s">
        <v>455</v>
      </c>
      <c r="J204" s="37" t="s">
        <v>480</v>
      </c>
      <c r="K204" s="37" t="s">
        <v>384</v>
      </c>
      <c r="L204" s="37" t="s">
        <v>20</v>
      </c>
      <c r="M204" s="37" t="s">
        <v>385</v>
      </c>
      <c r="N204" s="37" t="s">
        <v>27</v>
      </c>
      <c r="O204" s="40" t="s">
        <v>455</v>
      </c>
      <c r="P204" s="40" t="s">
        <v>480</v>
      </c>
      <c r="Q204" s="37" t="s">
        <v>456</v>
      </c>
      <c r="R204" s="37" t="s">
        <v>62</v>
      </c>
      <c r="S204" s="37" t="s">
        <v>63</v>
      </c>
      <c r="T204" s="37" t="s">
        <v>387</v>
      </c>
      <c r="U204" s="37" t="s">
        <v>133</v>
      </c>
      <c r="V204" s="37" t="s">
        <v>134</v>
      </c>
      <c r="W204" s="37" t="s">
        <v>976</v>
      </c>
      <c r="X204" s="1" t="n">
        <v>28</v>
      </c>
      <c r="AB204" s="1" t="n">
        <v>0.46</v>
      </c>
      <c r="AF204" s="1" t="s">
        <v>966</v>
      </c>
      <c r="AG204" s="62" t="s">
        <v>446</v>
      </c>
      <c r="AH204" s="52" t="s">
        <v>940</v>
      </c>
      <c r="AJ204" s="1" t="s">
        <v>941</v>
      </c>
      <c r="AK204" s="37" t="n">
        <f aca="false">SUM(Table1[[#This Row],[reported_1302]:[reported_1286_iso]])</f>
        <v>1.001</v>
      </c>
      <c r="AL204" s="53" t="n">
        <v>0.128</v>
      </c>
      <c r="AM204" s="53" t="n">
        <v>0.084</v>
      </c>
      <c r="AN204" s="53" t="n">
        <v>0.106</v>
      </c>
      <c r="AO204" s="53" t="n">
        <v>0.031</v>
      </c>
      <c r="AP204" s="53" t="n">
        <v>0.614</v>
      </c>
      <c r="AQ204" s="53" t="n">
        <v>0</v>
      </c>
      <c r="AR204" s="53" t="n">
        <v>0.038</v>
      </c>
      <c r="BA204" s="64" t="n">
        <f aca="false">AL204/SUM($AL204:$AQ204)</f>
        <v>0.132917964693666</v>
      </c>
      <c r="BB204" s="64" t="n">
        <f aca="false">AM204/SUM($AL204:$AQ204)</f>
        <v>0.0872274143302181</v>
      </c>
      <c r="BC204" s="64" t="n">
        <f aca="false">AN204/SUM($AL204:$AQ204)</f>
        <v>0.110072689511942</v>
      </c>
      <c r="BD204" s="64" t="n">
        <f aca="false">AO204/SUM($AL204:$AQ204)</f>
        <v>0.0321910695742471</v>
      </c>
      <c r="BE204" s="64" t="n">
        <f aca="false">AP204/SUM($AL204:$AQ204)</f>
        <v>0.637590861889927</v>
      </c>
      <c r="BF204" s="64" t="n">
        <f aca="false">AQ204/SUM($AL204:$AQ204)</f>
        <v>0</v>
      </c>
      <c r="BG204" s="65" t="e">
        <f aca="false">#N/A</f>
        <v>#N/A</v>
      </c>
      <c r="BH204" s="37" t="s">
        <v>393</v>
      </c>
      <c r="BI204" s="37" t="s">
        <v>463</v>
      </c>
      <c r="BJ204" s="1" t="s">
        <v>942</v>
      </c>
      <c r="BK204" s="34" t="s">
        <v>4</v>
      </c>
      <c r="BL204" s="1" t="s">
        <v>4</v>
      </c>
      <c r="BM204" s="37" t="s">
        <v>397</v>
      </c>
      <c r="BN204" s="37" t="s">
        <v>397</v>
      </c>
      <c r="BO204" s="37" t="s">
        <v>595</v>
      </c>
      <c r="BP204" s="37" t="s">
        <v>397</v>
      </c>
      <c r="BQ204" s="37" t="s">
        <v>397</v>
      </c>
      <c r="BR204" s="37" t="s">
        <v>405</v>
      </c>
      <c r="BS204" s="37" t="s">
        <v>405</v>
      </c>
      <c r="BT204" s="1" t="s">
        <v>943</v>
      </c>
      <c r="BU204" s="1" t="s">
        <v>944</v>
      </c>
      <c r="BV204" s="1" t="s">
        <v>945</v>
      </c>
      <c r="BW204" s="37" t="s">
        <v>402</v>
      </c>
    </row>
    <row r="205" customFormat="false" ht="14.9" hidden="false" customHeight="false" outlineLevel="0" collapsed="false">
      <c r="A205" s="1" t="s">
        <v>977</v>
      </c>
      <c r="B205" s="51" t="s">
        <v>130</v>
      </c>
      <c r="C205" s="37" t="s">
        <v>129</v>
      </c>
      <c r="D205" s="37" t="n">
        <f aca="false">INDEX(Strain_IDs!C:C,MATCH(Table1[[#This Row],[Strains]],Strain_IDs!D:D,0))</f>
        <v>7</v>
      </c>
      <c r="E205" s="37" t="s">
        <v>382</v>
      </c>
      <c r="F205" s="37" t="s">
        <v>20</v>
      </c>
      <c r="G205" s="37" t="s">
        <v>21</v>
      </c>
      <c r="H205" s="37" t="s">
        <v>27</v>
      </c>
      <c r="I205" s="37" t="s">
        <v>455</v>
      </c>
      <c r="J205" s="37" t="s">
        <v>480</v>
      </c>
      <c r="K205" s="37" t="s">
        <v>384</v>
      </c>
      <c r="L205" s="37" t="s">
        <v>20</v>
      </c>
      <c r="M205" s="37" t="s">
        <v>385</v>
      </c>
      <c r="N205" s="37" t="s">
        <v>27</v>
      </c>
      <c r="O205" s="40" t="s">
        <v>455</v>
      </c>
      <c r="P205" s="40" t="s">
        <v>480</v>
      </c>
      <c r="Q205" s="37" t="s">
        <v>456</v>
      </c>
      <c r="R205" s="37" t="s">
        <v>62</v>
      </c>
      <c r="S205" s="37" t="s">
        <v>63</v>
      </c>
      <c r="T205" s="37" t="s">
        <v>387</v>
      </c>
      <c r="U205" s="37" t="s">
        <v>133</v>
      </c>
      <c r="V205" s="37" t="s">
        <v>134</v>
      </c>
      <c r="W205" s="37" t="s">
        <v>978</v>
      </c>
      <c r="X205" s="1" t="n">
        <v>28</v>
      </c>
      <c r="AB205" s="1" t="n">
        <v>1.02</v>
      </c>
      <c r="AF205" s="1" t="s">
        <v>966</v>
      </c>
      <c r="AG205" s="62" t="s">
        <v>446</v>
      </c>
      <c r="AH205" s="52" t="s">
        <v>940</v>
      </c>
      <c r="AJ205" s="1" t="s">
        <v>941</v>
      </c>
      <c r="AK205" s="37" t="n">
        <f aca="false">SUM(Table1[[#This Row],[reported_1302]:[reported_1286_iso]])</f>
        <v>1</v>
      </c>
      <c r="AL205" s="53" t="n">
        <v>0.061</v>
      </c>
      <c r="AM205" s="53" t="n">
        <v>0.053</v>
      </c>
      <c r="AN205" s="53" t="n">
        <v>0.123</v>
      </c>
      <c r="AO205" s="53" t="n">
        <v>0.042</v>
      </c>
      <c r="AP205" s="53" t="n">
        <v>0.692</v>
      </c>
      <c r="AQ205" s="53" t="n">
        <v>0</v>
      </c>
      <c r="AR205" s="53" t="n">
        <v>0.029</v>
      </c>
      <c r="BA205" s="64" t="n">
        <f aca="false">AL205/SUM($AL205:$AQ205)</f>
        <v>0.062821833161689</v>
      </c>
      <c r="BB205" s="64" t="n">
        <f aca="false">AM205/SUM($AL205:$AQ205)</f>
        <v>0.0545829042224511</v>
      </c>
      <c r="BC205" s="64" t="n">
        <f aca="false">AN205/SUM($AL205:$AQ205)</f>
        <v>0.126673532440783</v>
      </c>
      <c r="BD205" s="64" t="n">
        <f aca="false">AO205/SUM($AL205:$AQ205)</f>
        <v>0.043254376930999</v>
      </c>
      <c r="BE205" s="64" t="n">
        <f aca="false">AP205/SUM($AL205:$AQ205)</f>
        <v>0.712667353244078</v>
      </c>
      <c r="BF205" s="64" t="n">
        <f aca="false">AQ205/SUM($AL205:$AQ205)</f>
        <v>0</v>
      </c>
      <c r="BG205" s="65" t="e">
        <f aca="false">#N/A</f>
        <v>#N/A</v>
      </c>
      <c r="BH205" s="37" t="s">
        <v>393</v>
      </c>
      <c r="BI205" s="37" t="s">
        <v>463</v>
      </c>
      <c r="BJ205" s="1" t="s">
        <v>942</v>
      </c>
      <c r="BK205" s="34" t="s">
        <v>4</v>
      </c>
      <c r="BL205" s="1" t="s">
        <v>4</v>
      </c>
      <c r="BM205" s="37" t="s">
        <v>397</v>
      </c>
      <c r="BN205" s="37" t="s">
        <v>397</v>
      </c>
      <c r="BO205" s="37" t="s">
        <v>595</v>
      </c>
      <c r="BP205" s="37" t="s">
        <v>397</v>
      </c>
      <c r="BQ205" s="37" t="s">
        <v>397</v>
      </c>
      <c r="BR205" s="37" t="s">
        <v>405</v>
      </c>
      <c r="BS205" s="37" t="s">
        <v>405</v>
      </c>
      <c r="BT205" s="1" t="s">
        <v>943</v>
      </c>
      <c r="BU205" s="1" t="s">
        <v>944</v>
      </c>
      <c r="BV205" s="1" t="s">
        <v>945</v>
      </c>
      <c r="BW205" s="37" t="s">
        <v>402</v>
      </c>
    </row>
    <row r="206" customFormat="false" ht="14.9" hidden="false" customHeight="false" outlineLevel="0" collapsed="false">
      <c r="A206" s="1" t="s">
        <v>979</v>
      </c>
      <c r="B206" s="51" t="s">
        <v>130</v>
      </c>
      <c r="C206" s="37" t="s">
        <v>129</v>
      </c>
      <c r="D206" s="37" t="n">
        <f aca="false">INDEX(Strain_IDs!C:C,MATCH(Table1[[#This Row],[Strains]],Strain_IDs!D:D,0))</f>
        <v>7</v>
      </c>
      <c r="E206" s="37" t="s">
        <v>382</v>
      </c>
      <c r="F206" s="37" t="s">
        <v>20</v>
      </c>
      <c r="G206" s="37" t="s">
        <v>21</v>
      </c>
      <c r="H206" s="37" t="s">
        <v>27</v>
      </c>
      <c r="I206" s="37" t="s">
        <v>455</v>
      </c>
      <c r="J206" s="37" t="s">
        <v>480</v>
      </c>
      <c r="K206" s="37" t="s">
        <v>384</v>
      </c>
      <c r="L206" s="37" t="s">
        <v>20</v>
      </c>
      <c r="M206" s="37" t="s">
        <v>385</v>
      </c>
      <c r="N206" s="37" t="s">
        <v>27</v>
      </c>
      <c r="O206" s="40" t="s">
        <v>455</v>
      </c>
      <c r="P206" s="40" t="s">
        <v>480</v>
      </c>
      <c r="Q206" s="37" t="s">
        <v>456</v>
      </c>
      <c r="R206" s="37" t="s">
        <v>62</v>
      </c>
      <c r="S206" s="37" t="s">
        <v>63</v>
      </c>
      <c r="T206" s="37" t="s">
        <v>387</v>
      </c>
      <c r="U206" s="37" t="s">
        <v>133</v>
      </c>
      <c r="V206" s="37" t="s">
        <v>134</v>
      </c>
      <c r="W206" s="37" t="s">
        <v>980</v>
      </c>
      <c r="X206" s="1" t="n">
        <v>28</v>
      </c>
      <c r="AB206" s="1" t="n">
        <v>0.94</v>
      </c>
      <c r="AF206" s="1" t="s">
        <v>966</v>
      </c>
      <c r="AG206" s="62" t="s">
        <v>446</v>
      </c>
      <c r="AH206" s="52" t="s">
        <v>940</v>
      </c>
      <c r="AJ206" s="1" t="s">
        <v>941</v>
      </c>
      <c r="AK206" s="37" t="n">
        <f aca="false">SUM(Table1[[#This Row],[reported_1302]:[reported_1286_iso]])</f>
        <v>1</v>
      </c>
      <c r="AL206" s="53" t="n">
        <v>0.073</v>
      </c>
      <c r="AM206" s="53" t="n">
        <v>0.047</v>
      </c>
      <c r="AN206" s="53" t="n">
        <v>0.116</v>
      </c>
      <c r="AO206" s="53" t="n">
        <v>0.031</v>
      </c>
      <c r="AP206" s="53" t="n">
        <v>0.718</v>
      </c>
      <c r="AQ206" s="53" t="n">
        <v>0</v>
      </c>
      <c r="AR206" s="53" t="n">
        <v>0.015</v>
      </c>
      <c r="BA206" s="64" t="n">
        <f aca="false">AL206/SUM($AL206:$AQ206)</f>
        <v>0.0741116751269036</v>
      </c>
      <c r="BB206" s="64" t="n">
        <f aca="false">AM206/SUM($AL206:$AQ206)</f>
        <v>0.0477157360406091</v>
      </c>
      <c r="BC206" s="64" t="n">
        <f aca="false">AN206/SUM($AL206:$AQ206)</f>
        <v>0.117766497461929</v>
      </c>
      <c r="BD206" s="64" t="n">
        <f aca="false">AO206/SUM($AL206:$AQ206)</f>
        <v>0.0314720812182741</v>
      </c>
      <c r="BE206" s="64" t="n">
        <f aca="false">AP206/SUM($AL206:$AQ206)</f>
        <v>0.728934010152284</v>
      </c>
      <c r="BF206" s="64" t="n">
        <f aca="false">AQ206/SUM($AL206:$AQ206)</f>
        <v>0</v>
      </c>
      <c r="BG206" s="65" t="e">
        <f aca="false">#N/A</f>
        <v>#N/A</v>
      </c>
      <c r="BH206" s="37" t="s">
        <v>393</v>
      </c>
      <c r="BI206" s="37" t="s">
        <v>463</v>
      </c>
      <c r="BJ206" s="1" t="s">
        <v>942</v>
      </c>
      <c r="BK206" s="34" t="s">
        <v>4</v>
      </c>
      <c r="BL206" s="1" t="s">
        <v>4</v>
      </c>
      <c r="BM206" s="37" t="s">
        <v>397</v>
      </c>
      <c r="BN206" s="37" t="s">
        <v>397</v>
      </c>
      <c r="BO206" s="37" t="s">
        <v>595</v>
      </c>
      <c r="BP206" s="37" t="s">
        <v>397</v>
      </c>
      <c r="BQ206" s="37" t="s">
        <v>397</v>
      </c>
      <c r="BR206" s="37" t="s">
        <v>405</v>
      </c>
      <c r="BS206" s="37" t="s">
        <v>405</v>
      </c>
      <c r="BT206" s="1" t="s">
        <v>943</v>
      </c>
      <c r="BU206" s="1" t="s">
        <v>944</v>
      </c>
      <c r="BV206" s="1" t="s">
        <v>945</v>
      </c>
      <c r="BW206" s="37" t="s">
        <v>402</v>
      </c>
    </row>
    <row r="207" customFormat="false" ht="14.9" hidden="false" customHeight="false" outlineLevel="0" collapsed="false">
      <c r="A207" s="1" t="s">
        <v>981</v>
      </c>
      <c r="B207" s="51" t="s">
        <v>130</v>
      </c>
      <c r="C207" s="37" t="s">
        <v>129</v>
      </c>
      <c r="D207" s="37" t="n">
        <f aca="false">INDEX(Strain_IDs!C:C,MATCH(Table1[[#This Row],[Strains]],Strain_IDs!D:D,0))</f>
        <v>7</v>
      </c>
      <c r="E207" s="37" t="s">
        <v>382</v>
      </c>
      <c r="F207" s="37" t="s">
        <v>20</v>
      </c>
      <c r="G207" s="37" t="s">
        <v>21</v>
      </c>
      <c r="H207" s="37" t="s">
        <v>27</v>
      </c>
      <c r="I207" s="37" t="s">
        <v>455</v>
      </c>
      <c r="J207" s="37" t="s">
        <v>480</v>
      </c>
      <c r="K207" s="37" t="s">
        <v>384</v>
      </c>
      <c r="L207" s="37" t="s">
        <v>20</v>
      </c>
      <c r="M207" s="37" t="s">
        <v>385</v>
      </c>
      <c r="N207" s="37" t="s">
        <v>27</v>
      </c>
      <c r="O207" s="40" t="s">
        <v>455</v>
      </c>
      <c r="P207" s="40" t="s">
        <v>480</v>
      </c>
      <c r="Q207" s="37" t="s">
        <v>456</v>
      </c>
      <c r="R207" s="37" t="s">
        <v>62</v>
      </c>
      <c r="S207" s="37" t="s">
        <v>63</v>
      </c>
      <c r="T207" s="37" t="s">
        <v>387</v>
      </c>
      <c r="U207" s="37" t="s">
        <v>133</v>
      </c>
      <c r="V207" s="37" t="s">
        <v>134</v>
      </c>
      <c r="W207" s="37" t="s">
        <v>982</v>
      </c>
      <c r="X207" s="1" t="n">
        <v>28</v>
      </c>
      <c r="AB207" s="1" t="n">
        <v>0.87</v>
      </c>
      <c r="AF207" s="1" t="s">
        <v>966</v>
      </c>
      <c r="AG207" s="62" t="s">
        <v>446</v>
      </c>
      <c r="AH207" s="52" t="s">
        <v>940</v>
      </c>
      <c r="AJ207" s="1" t="s">
        <v>941</v>
      </c>
      <c r="AK207" s="37" t="n">
        <f aca="false">SUM(Table1[[#This Row],[reported_1302]:[reported_1286_iso]])</f>
        <v>0.999</v>
      </c>
      <c r="AL207" s="53" t="n">
        <v>0.073</v>
      </c>
      <c r="AM207" s="53" t="n">
        <v>0.051</v>
      </c>
      <c r="AN207" s="53" t="n">
        <v>0.099</v>
      </c>
      <c r="AO207" s="53" t="n">
        <v>0.035</v>
      </c>
      <c r="AP207" s="53" t="n">
        <v>0.71</v>
      </c>
      <c r="AQ207" s="53" t="n">
        <v>0</v>
      </c>
      <c r="AR207" s="53" t="n">
        <v>0.031</v>
      </c>
      <c r="BA207" s="64" t="n">
        <f aca="false">AL207/SUM($AL207:$AQ207)</f>
        <v>0.0754132231404959</v>
      </c>
      <c r="BB207" s="64" t="n">
        <f aca="false">AM207/SUM($AL207:$AQ207)</f>
        <v>0.0526859504132231</v>
      </c>
      <c r="BC207" s="64" t="n">
        <f aca="false">AN207/SUM($AL207:$AQ207)</f>
        <v>0.102272727272727</v>
      </c>
      <c r="BD207" s="64" t="n">
        <f aca="false">AO207/SUM($AL207:$AQ207)</f>
        <v>0.0361570247933884</v>
      </c>
      <c r="BE207" s="64" t="n">
        <f aca="false">AP207/SUM($AL207:$AQ207)</f>
        <v>0.733471074380165</v>
      </c>
      <c r="BF207" s="64" t="n">
        <f aca="false">AQ207/SUM($AL207:$AQ207)</f>
        <v>0</v>
      </c>
      <c r="BG207" s="65" t="e">
        <f aca="false">#N/A</f>
        <v>#N/A</v>
      </c>
      <c r="BH207" s="37" t="s">
        <v>393</v>
      </c>
      <c r="BI207" s="37" t="s">
        <v>463</v>
      </c>
      <c r="BJ207" s="1" t="s">
        <v>942</v>
      </c>
      <c r="BK207" s="34" t="s">
        <v>4</v>
      </c>
      <c r="BL207" s="1" t="s">
        <v>4</v>
      </c>
      <c r="BM207" s="37" t="s">
        <v>397</v>
      </c>
      <c r="BN207" s="37" t="s">
        <v>397</v>
      </c>
      <c r="BO207" s="37" t="s">
        <v>595</v>
      </c>
      <c r="BP207" s="37" t="s">
        <v>397</v>
      </c>
      <c r="BQ207" s="37" t="s">
        <v>397</v>
      </c>
      <c r="BR207" s="37" t="s">
        <v>405</v>
      </c>
      <c r="BS207" s="37" t="s">
        <v>405</v>
      </c>
      <c r="BT207" s="1" t="s">
        <v>943</v>
      </c>
      <c r="BU207" s="1" t="s">
        <v>944</v>
      </c>
      <c r="BV207" s="1" t="s">
        <v>945</v>
      </c>
      <c r="BW207" s="37" t="s">
        <v>402</v>
      </c>
    </row>
    <row r="208" customFormat="false" ht="14.9" hidden="false" customHeight="false" outlineLevel="0" collapsed="false">
      <c r="A208" s="1" t="s">
        <v>983</v>
      </c>
      <c r="B208" s="51" t="s">
        <v>130</v>
      </c>
      <c r="C208" s="37" t="s">
        <v>129</v>
      </c>
      <c r="D208" s="37" t="n">
        <f aca="false">INDEX(Strain_IDs!C:C,MATCH(Table1[[#This Row],[Strains]],Strain_IDs!D:D,0))</f>
        <v>7</v>
      </c>
      <c r="E208" s="37" t="s">
        <v>382</v>
      </c>
      <c r="F208" s="37" t="s">
        <v>20</v>
      </c>
      <c r="G208" s="37" t="s">
        <v>21</v>
      </c>
      <c r="H208" s="37" t="s">
        <v>27</v>
      </c>
      <c r="I208" s="37" t="s">
        <v>455</v>
      </c>
      <c r="J208" s="37" t="s">
        <v>480</v>
      </c>
      <c r="K208" s="37" t="s">
        <v>384</v>
      </c>
      <c r="L208" s="37" t="s">
        <v>20</v>
      </c>
      <c r="M208" s="37" t="s">
        <v>385</v>
      </c>
      <c r="N208" s="37" t="s">
        <v>27</v>
      </c>
      <c r="O208" s="40" t="s">
        <v>455</v>
      </c>
      <c r="P208" s="40" t="s">
        <v>480</v>
      </c>
      <c r="Q208" s="37" t="s">
        <v>456</v>
      </c>
      <c r="R208" s="37" t="s">
        <v>62</v>
      </c>
      <c r="S208" s="37" t="s">
        <v>63</v>
      </c>
      <c r="T208" s="37" t="s">
        <v>387</v>
      </c>
      <c r="U208" s="37" t="s">
        <v>133</v>
      </c>
      <c r="V208" s="37" t="s">
        <v>134</v>
      </c>
      <c r="W208" s="37" t="s">
        <v>984</v>
      </c>
      <c r="X208" s="1" t="n">
        <v>28</v>
      </c>
      <c r="AB208" s="1" t="n">
        <v>0.75</v>
      </c>
      <c r="AF208" s="1" t="s">
        <v>966</v>
      </c>
      <c r="AG208" s="62" t="s">
        <v>446</v>
      </c>
      <c r="AH208" s="52" t="s">
        <v>940</v>
      </c>
      <c r="AJ208" s="1" t="s">
        <v>941</v>
      </c>
      <c r="AK208" s="37" t="n">
        <f aca="false">SUM(Table1[[#This Row],[reported_1302]:[reported_1286_iso]])</f>
        <v>1</v>
      </c>
      <c r="AL208" s="53" t="n">
        <v>0.084</v>
      </c>
      <c r="AM208" s="53" t="n">
        <v>0.066</v>
      </c>
      <c r="AN208" s="53" t="n">
        <v>0.112</v>
      </c>
      <c r="AO208" s="53" t="n">
        <v>0.032</v>
      </c>
      <c r="AP208" s="53" t="n">
        <v>0.677</v>
      </c>
      <c r="AQ208" s="53" t="n">
        <v>0</v>
      </c>
      <c r="AR208" s="53" t="n">
        <v>0.029</v>
      </c>
      <c r="BA208" s="64" t="n">
        <f aca="false">AL208/SUM($AL208:$AQ208)</f>
        <v>0.0865087538619979</v>
      </c>
      <c r="BB208" s="64" t="n">
        <f aca="false">AM208/SUM($AL208:$AQ208)</f>
        <v>0.0679711637487127</v>
      </c>
      <c r="BC208" s="64" t="n">
        <f aca="false">AN208/SUM($AL208:$AQ208)</f>
        <v>0.115345005149331</v>
      </c>
      <c r="BD208" s="64" t="n">
        <f aca="false">AO208/SUM($AL208:$AQ208)</f>
        <v>0.0329557157569516</v>
      </c>
      <c r="BE208" s="64" t="n">
        <f aca="false">AP208/SUM($AL208:$AQ208)</f>
        <v>0.697219361483007</v>
      </c>
      <c r="BF208" s="64" t="n">
        <f aca="false">AQ208/SUM($AL208:$AQ208)</f>
        <v>0</v>
      </c>
      <c r="BG208" s="65" t="e">
        <f aca="false">#N/A</f>
        <v>#N/A</v>
      </c>
      <c r="BH208" s="37" t="s">
        <v>393</v>
      </c>
      <c r="BI208" s="37" t="s">
        <v>463</v>
      </c>
      <c r="BJ208" s="1" t="s">
        <v>942</v>
      </c>
      <c r="BK208" s="34" t="s">
        <v>4</v>
      </c>
      <c r="BL208" s="1" t="s">
        <v>4</v>
      </c>
      <c r="BM208" s="37" t="s">
        <v>397</v>
      </c>
      <c r="BN208" s="37" t="s">
        <v>397</v>
      </c>
      <c r="BO208" s="37" t="s">
        <v>595</v>
      </c>
      <c r="BP208" s="37" t="s">
        <v>397</v>
      </c>
      <c r="BQ208" s="37" t="s">
        <v>397</v>
      </c>
      <c r="BR208" s="37" t="s">
        <v>405</v>
      </c>
      <c r="BS208" s="37" t="s">
        <v>405</v>
      </c>
      <c r="BT208" s="1" t="s">
        <v>943</v>
      </c>
      <c r="BU208" s="1" t="s">
        <v>944</v>
      </c>
      <c r="BV208" s="1" t="s">
        <v>945</v>
      </c>
      <c r="BW208" s="37" t="s">
        <v>402</v>
      </c>
    </row>
    <row r="209" customFormat="false" ht="14.9" hidden="false" customHeight="false" outlineLevel="0" collapsed="false">
      <c r="A209" s="1" t="s">
        <v>985</v>
      </c>
      <c r="B209" s="51" t="s">
        <v>130</v>
      </c>
      <c r="C209" s="37" t="s">
        <v>129</v>
      </c>
      <c r="D209" s="37" t="n">
        <f aca="false">INDEX(Strain_IDs!C:C,MATCH(Table1[[#This Row],[Strains]],Strain_IDs!D:D,0))</f>
        <v>7</v>
      </c>
      <c r="E209" s="37" t="s">
        <v>382</v>
      </c>
      <c r="F209" s="37" t="s">
        <v>20</v>
      </c>
      <c r="G209" s="37" t="s">
        <v>21</v>
      </c>
      <c r="H209" s="37" t="s">
        <v>27</v>
      </c>
      <c r="I209" s="37" t="s">
        <v>455</v>
      </c>
      <c r="J209" s="37" t="s">
        <v>480</v>
      </c>
      <c r="K209" s="37" t="s">
        <v>384</v>
      </c>
      <c r="L209" s="37" t="s">
        <v>20</v>
      </c>
      <c r="M209" s="37" t="s">
        <v>385</v>
      </c>
      <c r="N209" s="37" t="s">
        <v>27</v>
      </c>
      <c r="O209" s="40" t="s">
        <v>455</v>
      </c>
      <c r="P209" s="40" t="s">
        <v>480</v>
      </c>
      <c r="Q209" s="37" t="s">
        <v>456</v>
      </c>
      <c r="R209" s="37" t="s">
        <v>62</v>
      </c>
      <c r="S209" s="37" t="s">
        <v>63</v>
      </c>
      <c r="T209" s="37" t="s">
        <v>387</v>
      </c>
      <c r="U209" s="37" t="s">
        <v>133</v>
      </c>
      <c r="V209" s="37" t="s">
        <v>134</v>
      </c>
      <c r="W209" s="37" t="s">
        <v>986</v>
      </c>
      <c r="X209" s="1" t="n">
        <v>24</v>
      </c>
      <c r="AF209" s="1" t="s">
        <v>389</v>
      </c>
      <c r="AG209" s="62" t="s">
        <v>446</v>
      </c>
      <c r="AH209" s="52" t="s">
        <v>877</v>
      </c>
      <c r="AJ209" s="1" t="s">
        <v>448</v>
      </c>
      <c r="AL209" s="53" t="n">
        <v>1536059.6</v>
      </c>
      <c r="AM209" s="53" t="n">
        <v>995946.4</v>
      </c>
      <c r="AN209" s="53" t="n">
        <v>995336.4</v>
      </c>
      <c r="AO209" s="53" t="n">
        <v>286075.5</v>
      </c>
      <c r="AP209" s="53" t="n">
        <v>3072768</v>
      </c>
      <c r="AQ209" s="53" t="n">
        <v>28007.2</v>
      </c>
      <c r="AR209" s="53" t="n">
        <v>38699.2</v>
      </c>
      <c r="BA209" s="64" t="n">
        <f aca="false">AL209/SUM($AL209:$AQ209)</f>
        <v>0.222160355920635</v>
      </c>
      <c r="BB209" s="64" t="n">
        <f aca="false">AM209/SUM($AL209:$AQ209)</f>
        <v>0.144043764123394</v>
      </c>
      <c r="BC209" s="64" t="n">
        <f aca="false">AN209/SUM($AL209:$AQ209)</f>
        <v>0.143955539801166</v>
      </c>
      <c r="BD209" s="64" t="n">
        <f aca="false">AO209/SUM($AL209:$AQ209)</f>
        <v>0.0413751099893348</v>
      </c>
      <c r="BE209" s="64" t="n">
        <f aca="false">AP209/SUM($AL209:$AQ209)</f>
        <v>0.444414547808912</v>
      </c>
      <c r="BF209" s="64" t="n">
        <f aca="false">AQ209/SUM($AL209:$AQ209)</f>
        <v>0.00405068235655727</v>
      </c>
      <c r="BG209" s="65" t="e">
        <f aca="false">#N/A</f>
        <v>#N/A</v>
      </c>
      <c r="BH209" s="37" t="s">
        <v>393</v>
      </c>
      <c r="BI209" s="37" t="s">
        <v>463</v>
      </c>
      <c r="BJ209" s="37" t="s">
        <v>879</v>
      </c>
      <c r="BK209" s="40" t="s">
        <v>5</v>
      </c>
      <c r="BL209" s="40" t="s">
        <v>5</v>
      </c>
      <c r="BM209" s="37" t="s">
        <v>397</v>
      </c>
      <c r="BN209" s="37" t="s">
        <v>397</v>
      </c>
      <c r="BO209" s="37" t="s">
        <v>595</v>
      </c>
      <c r="BP209" s="37" t="s">
        <v>397</v>
      </c>
      <c r="BQ209" s="37" t="s">
        <v>397</v>
      </c>
      <c r="BR209" s="37" t="s">
        <v>405</v>
      </c>
      <c r="BS209" s="37" t="s">
        <v>405</v>
      </c>
      <c r="BT209" s="37" t="s">
        <v>880</v>
      </c>
      <c r="BU209" s="37" t="s">
        <v>466</v>
      </c>
      <c r="BV209" s="37" t="s">
        <v>881</v>
      </c>
      <c r="BW209" s="37" t="s">
        <v>881</v>
      </c>
    </row>
    <row r="210" customFormat="false" ht="14.9" hidden="false" customHeight="false" outlineLevel="0" collapsed="false">
      <c r="A210" s="1" t="s">
        <v>987</v>
      </c>
      <c r="B210" s="51" t="s">
        <v>130</v>
      </c>
      <c r="C210" s="37" t="s">
        <v>129</v>
      </c>
      <c r="D210" s="37" t="n">
        <f aca="false">INDEX(Strain_IDs!C:C,MATCH(Table1[[#This Row],[Strains]],Strain_IDs!D:D,0))</f>
        <v>7</v>
      </c>
      <c r="E210" s="37" t="s">
        <v>382</v>
      </c>
      <c r="F210" s="37" t="s">
        <v>20</v>
      </c>
      <c r="G210" s="37" t="s">
        <v>21</v>
      </c>
      <c r="H210" s="37" t="s">
        <v>27</v>
      </c>
      <c r="I210" s="37" t="s">
        <v>455</v>
      </c>
      <c r="J210" s="37" t="s">
        <v>480</v>
      </c>
      <c r="K210" s="37" t="s">
        <v>384</v>
      </c>
      <c r="L210" s="37" t="s">
        <v>20</v>
      </c>
      <c r="M210" s="37" t="s">
        <v>385</v>
      </c>
      <c r="N210" s="37" t="s">
        <v>27</v>
      </c>
      <c r="O210" s="40" t="s">
        <v>455</v>
      </c>
      <c r="P210" s="40" t="s">
        <v>480</v>
      </c>
      <c r="Q210" s="37" t="s">
        <v>456</v>
      </c>
      <c r="R210" s="37" t="s">
        <v>62</v>
      </c>
      <c r="S210" s="37" t="s">
        <v>63</v>
      </c>
      <c r="T210" s="37" t="s">
        <v>387</v>
      </c>
      <c r="U210" s="37" t="s">
        <v>133</v>
      </c>
      <c r="V210" s="37" t="s">
        <v>134</v>
      </c>
      <c r="W210" s="37" t="s">
        <v>988</v>
      </c>
      <c r="X210" s="1" t="n">
        <v>24</v>
      </c>
      <c r="AF210" s="1" t="s">
        <v>389</v>
      </c>
      <c r="AG210" s="62" t="s">
        <v>446</v>
      </c>
      <c r="AH210" s="52" t="s">
        <v>877</v>
      </c>
      <c r="AJ210" s="1" t="s">
        <v>448</v>
      </c>
      <c r="AL210" s="53" t="n">
        <v>235925.4</v>
      </c>
      <c r="AM210" s="53" t="n">
        <v>14579.9</v>
      </c>
      <c r="AN210" s="53" t="n">
        <v>143540.2</v>
      </c>
      <c r="AO210" s="53" t="n">
        <v>41372.6</v>
      </c>
      <c r="AP210" s="53" t="n">
        <v>416454.3</v>
      </c>
      <c r="AQ210" s="53" t="n">
        <v>4185.1</v>
      </c>
      <c r="AR210" s="53" t="n">
        <v>6033</v>
      </c>
      <c r="BA210" s="64" t="n">
        <f aca="false">AL210/SUM($AL210:$AQ210)</f>
        <v>0.275595272513821</v>
      </c>
      <c r="BB210" s="64" t="n">
        <f aca="false">AM210/SUM($AL210:$AQ210)</f>
        <v>0.0170314494061439</v>
      </c>
      <c r="BC210" s="64" t="n">
        <f aca="false">AN210/SUM($AL210:$AQ210)</f>
        <v>0.16767588625764</v>
      </c>
      <c r="BD210" s="64" t="n">
        <f aca="false">AO210/SUM($AL210:$AQ210)</f>
        <v>0.0483292302211008</v>
      </c>
      <c r="BE210" s="64" t="n">
        <f aca="false">AP210/SUM($AL210:$AQ210)</f>
        <v>0.486479354482614</v>
      </c>
      <c r="BF210" s="64" t="n">
        <f aca="false">AQ210/SUM($AL210:$AQ210)</f>
        <v>0.0048888071186807</v>
      </c>
      <c r="BG210" s="65" t="e">
        <f aca="false">#N/A</f>
        <v>#N/A</v>
      </c>
      <c r="BH210" s="37" t="s">
        <v>393</v>
      </c>
      <c r="BI210" s="37" t="s">
        <v>463</v>
      </c>
      <c r="BJ210" s="37" t="s">
        <v>879</v>
      </c>
      <c r="BK210" s="40" t="s">
        <v>5</v>
      </c>
      <c r="BL210" s="40" t="s">
        <v>5</v>
      </c>
      <c r="BM210" s="37" t="s">
        <v>397</v>
      </c>
      <c r="BN210" s="37" t="s">
        <v>397</v>
      </c>
      <c r="BO210" s="37" t="s">
        <v>595</v>
      </c>
      <c r="BP210" s="37" t="s">
        <v>397</v>
      </c>
      <c r="BQ210" s="37" t="s">
        <v>397</v>
      </c>
      <c r="BR210" s="37" t="s">
        <v>405</v>
      </c>
      <c r="BS210" s="37" t="s">
        <v>405</v>
      </c>
      <c r="BT210" s="37" t="s">
        <v>880</v>
      </c>
      <c r="BU210" s="37" t="s">
        <v>466</v>
      </c>
      <c r="BV210" s="37" t="s">
        <v>881</v>
      </c>
      <c r="BW210" s="37" t="s">
        <v>881</v>
      </c>
    </row>
    <row r="211" customFormat="false" ht="14.9" hidden="false" customHeight="false" outlineLevel="0" collapsed="false">
      <c r="A211" s="1" t="s">
        <v>989</v>
      </c>
      <c r="B211" s="51" t="s">
        <v>130</v>
      </c>
      <c r="C211" s="37" t="s">
        <v>129</v>
      </c>
      <c r="D211" s="37" t="n">
        <f aca="false">INDEX(Strain_IDs!C:C,MATCH(Table1[[#This Row],[Strains]],Strain_IDs!D:D,0))</f>
        <v>7</v>
      </c>
      <c r="E211" s="37" t="s">
        <v>382</v>
      </c>
      <c r="F211" s="37" t="s">
        <v>20</v>
      </c>
      <c r="G211" s="37" t="s">
        <v>21</v>
      </c>
      <c r="H211" s="37" t="s">
        <v>27</v>
      </c>
      <c r="I211" s="37" t="s">
        <v>455</v>
      </c>
      <c r="J211" s="37" t="s">
        <v>480</v>
      </c>
      <c r="K211" s="37" t="s">
        <v>384</v>
      </c>
      <c r="L211" s="37" t="s">
        <v>20</v>
      </c>
      <c r="M211" s="37" t="s">
        <v>385</v>
      </c>
      <c r="N211" s="37" t="s">
        <v>27</v>
      </c>
      <c r="O211" s="40" t="s">
        <v>455</v>
      </c>
      <c r="P211" s="40" t="s">
        <v>480</v>
      </c>
      <c r="Q211" s="37" t="s">
        <v>456</v>
      </c>
      <c r="R211" s="37" t="s">
        <v>62</v>
      </c>
      <c r="S211" s="37" t="s">
        <v>63</v>
      </c>
      <c r="T211" s="37" t="s">
        <v>387</v>
      </c>
      <c r="U211" s="37" t="s">
        <v>133</v>
      </c>
      <c r="V211" s="37" t="s">
        <v>134</v>
      </c>
      <c r="W211" s="37" t="s">
        <v>990</v>
      </c>
      <c r="X211" s="1" t="n">
        <v>24</v>
      </c>
      <c r="AF211" s="1" t="s">
        <v>389</v>
      </c>
      <c r="AG211" s="62" t="s">
        <v>446</v>
      </c>
      <c r="AH211" s="52" t="s">
        <v>877</v>
      </c>
      <c r="AJ211" s="1" t="s">
        <v>448</v>
      </c>
      <c r="AL211" s="53" t="n">
        <v>601086.8</v>
      </c>
      <c r="AM211" s="53" t="n">
        <v>381012.6</v>
      </c>
      <c r="AN211" s="53" t="n">
        <v>379153.9</v>
      </c>
      <c r="AO211" s="53" t="n">
        <v>106108.2</v>
      </c>
      <c r="AP211" s="53" t="n">
        <v>1158387</v>
      </c>
      <c r="AQ211" s="53" t="n">
        <v>9676</v>
      </c>
      <c r="AR211" s="53" t="n">
        <v>15098.7</v>
      </c>
      <c r="BA211" s="64" t="n">
        <f aca="false">AL211/SUM($AL211:$AQ211)</f>
        <v>0.228079688869858</v>
      </c>
      <c r="BB211" s="64" t="n">
        <f aca="false">AM211/SUM($AL211:$AQ211)</f>
        <v>0.144573521267636</v>
      </c>
      <c r="BC211" s="64" t="n">
        <f aca="false">AN211/SUM($AL211:$AQ211)</f>
        <v>0.143868245893593</v>
      </c>
      <c r="BD211" s="64" t="n">
        <f aca="false">AO211/SUM($AL211:$AQ211)</f>
        <v>0.0402622803271352</v>
      </c>
      <c r="BE211" s="64" t="n">
        <f aca="false">AP211/SUM($AL211:$AQ211)</f>
        <v>0.439544748863039</v>
      </c>
      <c r="BF211" s="64" t="n">
        <f aca="false">AQ211/SUM($AL211:$AQ211)</f>
        <v>0.00367151477873868</v>
      </c>
      <c r="BG211" s="65" t="e">
        <f aca="false">#N/A</f>
        <v>#N/A</v>
      </c>
      <c r="BH211" s="37" t="s">
        <v>393</v>
      </c>
      <c r="BI211" s="37" t="s">
        <v>463</v>
      </c>
      <c r="BJ211" s="37" t="s">
        <v>879</v>
      </c>
      <c r="BK211" s="40" t="s">
        <v>5</v>
      </c>
      <c r="BL211" s="40" t="s">
        <v>5</v>
      </c>
      <c r="BM211" s="37" t="s">
        <v>397</v>
      </c>
      <c r="BN211" s="37" t="s">
        <v>397</v>
      </c>
      <c r="BO211" s="37" t="s">
        <v>595</v>
      </c>
      <c r="BP211" s="37" t="s">
        <v>397</v>
      </c>
      <c r="BQ211" s="37" t="s">
        <v>397</v>
      </c>
      <c r="BR211" s="37" t="s">
        <v>405</v>
      </c>
      <c r="BS211" s="37" t="s">
        <v>405</v>
      </c>
      <c r="BT211" s="37" t="s">
        <v>880</v>
      </c>
      <c r="BU211" s="37" t="s">
        <v>466</v>
      </c>
      <c r="BV211" s="37" t="s">
        <v>881</v>
      </c>
      <c r="BW211" s="37" t="s">
        <v>881</v>
      </c>
    </row>
    <row r="212" customFormat="false" ht="14.9" hidden="false" customHeight="false" outlineLevel="0" collapsed="false">
      <c r="A212" s="1" t="s">
        <v>991</v>
      </c>
      <c r="B212" s="51" t="s">
        <v>130</v>
      </c>
      <c r="C212" s="37" t="s">
        <v>129</v>
      </c>
      <c r="D212" s="37" t="n">
        <f aca="false">INDEX(Strain_IDs!C:C,MATCH(Table1[[#This Row],[Strains]],Strain_IDs!D:D,0))</f>
        <v>7</v>
      </c>
      <c r="E212" s="37" t="s">
        <v>382</v>
      </c>
      <c r="F212" s="37" t="s">
        <v>20</v>
      </c>
      <c r="G212" s="37" t="s">
        <v>21</v>
      </c>
      <c r="H212" s="37" t="s">
        <v>27</v>
      </c>
      <c r="I212" s="37" t="s">
        <v>455</v>
      </c>
      <c r="J212" s="37" t="s">
        <v>480</v>
      </c>
      <c r="K212" s="37" t="s">
        <v>384</v>
      </c>
      <c r="L212" s="37" t="s">
        <v>20</v>
      </c>
      <c r="M212" s="37" t="s">
        <v>385</v>
      </c>
      <c r="N212" s="37" t="s">
        <v>27</v>
      </c>
      <c r="O212" s="40" t="s">
        <v>455</v>
      </c>
      <c r="P212" s="40" t="s">
        <v>480</v>
      </c>
      <c r="Q212" s="37" t="s">
        <v>456</v>
      </c>
      <c r="R212" s="37" t="s">
        <v>62</v>
      </c>
      <c r="S212" s="37" t="s">
        <v>63</v>
      </c>
      <c r="T212" s="37" t="s">
        <v>387</v>
      </c>
      <c r="U212" s="37" t="s">
        <v>133</v>
      </c>
      <c r="V212" s="37" t="s">
        <v>134</v>
      </c>
      <c r="W212" s="37" t="s">
        <v>992</v>
      </c>
      <c r="X212" s="1" t="n">
        <v>28</v>
      </c>
      <c r="AF212" s="1" t="s">
        <v>389</v>
      </c>
      <c r="AG212" s="62" t="s">
        <v>446</v>
      </c>
      <c r="AH212" s="52" t="s">
        <v>877</v>
      </c>
      <c r="AJ212" s="1" t="s">
        <v>448</v>
      </c>
      <c r="AL212" s="53" t="n">
        <v>323050.4</v>
      </c>
      <c r="AM212" s="53" t="n">
        <v>241839.4</v>
      </c>
      <c r="AN212" s="53" t="n">
        <v>388333.5</v>
      </c>
      <c r="AO212" s="53" t="n">
        <v>94728.5</v>
      </c>
      <c r="AP212" s="53" t="n">
        <v>1157895.1</v>
      </c>
      <c r="AQ212" s="53" t="n">
        <v>15822.5</v>
      </c>
      <c r="AR212" s="53" t="n">
        <v>11195.6</v>
      </c>
      <c r="BA212" s="64" t="n">
        <f aca="false">AL212/SUM($AL212:$AQ212)</f>
        <v>0.145408853360451</v>
      </c>
      <c r="BB212" s="64" t="n">
        <f aca="false">AM212/SUM($AL212:$AQ212)</f>
        <v>0.108854809811037</v>
      </c>
      <c r="BC212" s="64" t="n">
        <f aca="false">AN212/SUM($AL212:$AQ212)</f>
        <v>0.174793558393522</v>
      </c>
      <c r="BD212" s="64" t="n">
        <f aca="false">AO212/SUM($AL212:$AQ212)</f>
        <v>0.0426384321627691</v>
      </c>
      <c r="BE212" s="64" t="n">
        <f aca="false">AP212/SUM($AL212:$AQ212)</f>
        <v>0.521182449557977</v>
      </c>
      <c r="BF212" s="64" t="n">
        <f aca="false">AQ212/SUM($AL212:$AQ212)</f>
        <v>0.0071218967142456</v>
      </c>
      <c r="BG212" s="65" t="e">
        <f aca="false">#N/A</f>
        <v>#N/A</v>
      </c>
      <c r="BH212" s="37" t="s">
        <v>393</v>
      </c>
      <c r="BI212" s="37" t="s">
        <v>463</v>
      </c>
      <c r="BJ212" s="37" t="s">
        <v>879</v>
      </c>
      <c r="BK212" s="40" t="s">
        <v>5</v>
      </c>
      <c r="BL212" s="40" t="s">
        <v>5</v>
      </c>
      <c r="BM212" s="37" t="s">
        <v>397</v>
      </c>
      <c r="BN212" s="37" t="s">
        <v>397</v>
      </c>
      <c r="BO212" s="37" t="s">
        <v>595</v>
      </c>
      <c r="BP212" s="37" t="s">
        <v>397</v>
      </c>
      <c r="BQ212" s="37" t="s">
        <v>397</v>
      </c>
      <c r="BR212" s="37" t="s">
        <v>405</v>
      </c>
      <c r="BS212" s="37" t="s">
        <v>405</v>
      </c>
      <c r="BT212" s="37" t="s">
        <v>880</v>
      </c>
      <c r="BU212" s="37" t="s">
        <v>466</v>
      </c>
      <c r="BV212" s="37" t="s">
        <v>881</v>
      </c>
      <c r="BW212" s="37" t="s">
        <v>881</v>
      </c>
    </row>
    <row r="213" customFormat="false" ht="14.9" hidden="false" customHeight="false" outlineLevel="0" collapsed="false">
      <c r="A213" s="1" t="s">
        <v>993</v>
      </c>
      <c r="B213" s="51" t="s">
        <v>130</v>
      </c>
      <c r="C213" s="37" t="s">
        <v>129</v>
      </c>
      <c r="D213" s="37" t="n">
        <f aca="false">INDEX(Strain_IDs!C:C,MATCH(Table1[[#This Row],[Strains]],Strain_IDs!D:D,0))</f>
        <v>7</v>
      </c>
      <c r="E213" s="37" t="s">
        <v>382</v>
      </c>
      <c r="F213" s="37" t="s">
        <v>20</v>
      </c>
      <c r="G213" s="37" t="s">
        <v>21</v>
      </c>
      <c r="H213" s="37" t="s">
        <v>27</v>
      </c>
      <c r="I213" s="37" t="s">
        <v>455</v>
      </c>
      <c r="J213" s="37" t="s">
        <v>480</v>
      </c>
      <c r="K213" s="37" t="s">
        <v>384</v>
      </c>
      <c r="L213" s="37" t="s">
        <v>20</v>
      </c>
      <c r="M213" s="37" t="s">
        <v>385</v>
      </c>
      <c r="N213" s="37" t="s">
        <v>27</v>
      </c>
      <c r="O213" s="40" t="s">
        <v>455</v>
      </c>
      <c r="P213" s="40" t="s">
        <v>480</v>
      </c>
      <c r="Q213" s="37" t="s">
        <v>456</v>
      </c>
      <c r="R213" s="37" t="s">
        <v>62</v>
      </c>
      <c r="S213" s="37" t="s">
        <v>63</v>
      </c>
      <c r="T213" s="37" t="s">
        <v>387</v>
      </c>
      <c r="U213" s="37" t="s">
        <v>133</v>
      </c>
      <c r="V213" s="37" t="s">
        <v>134</v>
      </c>
      <c r="W213" s="37" t="s">
        <v>994</v>
      </c>
      <c r="X213" s="1" t="n">
        <v>28</v>
      </c>
      <c r="AF213" s="1" t="s">
        <v>389</v>
      </c>
      <c r="AG213" s="62" t="s">
        <v>446</v>
      </c>
      <c r="AH213" s="52" t="s">
        <v>877</v>
      </c>
      <c r="AJ213" s="1" t="s">
        <v>448</v>
      </c>
      <c r="AL213" s="53" t="n">
        <v>607739.6</v>
      </c>
      <c r="AM213" s="53" t="n">
        <v>415133.4</v>
      </c>
      <c r="AN213" s="53" t="n">
        <v>714335.3</v>
      </c>
      <c r="AO213" s="53" t="n">
        <v>172005.9</v>
      </c>
      <c r="AP213" s="53" t="n">
        <v>1983789</v>
      </c>
      <c r="AQ213" s="53" t="n">
        <v>20617.9</v>
      </c>
      <c r="AR213" s="53" t="n">
        <v>22192.3</v>
      </c>
      <c r="BA213" s="64" t="n">
        <f aca="false">AL213/SUM($AL213:$AQ213)</f>
        <v>0.155288308313751</v>
      </c>
      <c r="BB213" s="64" t="n">
        <f aca="false">AM213/SUM($AL213:$AQ213)</f>
        <v>0.106073988613767</v>
      </c>
      <c r="BC213" s="64" t="n">
        <f aca="false">AN213/SUM($AL213:$AQ213)</f>
        <v>0.182525411057294</v>
      </c>
      <c r="BD213" s="64" t="n">
        <f aca="false">AO213/SUM($AL213:$AQ213)</f>
        <v>0.0439505755935341</v>
      </c>
      <c r="BE213" s="64" t="n">
        <f aca="false">AP213/SUM($AL213:$AQ213)</f>
        <v>0.506893475201266</v>
      </c>
      <c r="BF213" s="64" t="n">
        <f aca="false">AQ213/SUM($AL213:$AQ213)</f>
        <v>0.00526824122038794</v>
      </c>
      <c r="BG213" s="65" t="e">
        <f aca="false">#N/A</f>
        <v>#N/A</v>
      </c>
      <c r="BH213" s="37" t="s">
        <v>393</v>
      </c>
      <c r="BI213" s="37" t="s">
        <v>463</v>
      </c>
      <c r="BJ213" s="37" t="s">
        <v>879</v>
      </c>
      <c r="BK213" s="40" t="s">
        <v>5</v>
      </c>
      <c r="BL213" s="40" t="s">
        <v>5</v>
      </c>
      <c r="BM213" s="37" t="s">
        <v>397</v>
      </c>
      <c r="BN213" s="37" t="s">
        <v>397</v>
      </c>
      <c r="BO213" s="37" t="s">
        <v>595</v>
      </c>
      <c r="BP213" s="37" t="s">
        <v>397</v>
      </c>
      <c r="BQ213" s="37" t="s">
        <v>397</v>
      </c>
      <c r="BR213" s="37" t="s">
        <v>405</v>
      </c>
      <c r="BS213" s="37" t="s">
        <v>405</v>
      </c>
      <c r="BT213" s="37" t="s">
        <v>880</v>
      </c>
      <c r="BU213" s="37" t="s">
        <v>466</v>
      </c>
      <c r="BV213" s="37" t="s">
        <v>881</v>
      </c>
      <c r="BW213" s="37" t="s">
        <v>881</v>
      </c>
    </row>
    <row r="214" customFormat="false" ht="14.9" hidden="false" customHeight="false" outlineLevel="0" collapsed="false">
      <c r="A214" s="1" t="s">
        <v>995</v>
      </c>
      <c r="B214" s="51" t="s">
        <v>130</v>
      </c>
      <c r="C214" s="37" t="s">
        <v>129</v>
      </c>
      <c r="D214" s="37" t="n">
        <f aca="false">INDEX(Strain_IDs!C:C,MATCH(Table1[[#This Row],[Strains]],Strain_IDs!D:D,0))</f>
        <v>7</v>
      </c>
      <c r="E214" s="37" t="s">
        <v>382</v>
      </c>
      <c r="F214" s="37" t="s">
        <v>20</v>
      </c>
      <c r="G214" s="37" t="s">
        <v>21</v>
      </c>
      <c r="H214" s="37" t="s">
        <v>27</v>
      </c>
      <c r="I214" s="37" t="s">
        <v>455</v>
      </c>
      <c r="J214" s="37" t="s">
        <v>480</v>
      </c>
      <c r="K214" s="37" t="s">
        <v>384</v>
      </c>
      <c r="L214" s="37" t="s">
        <v>20</v>
      </c>
      <c r="M214" s="37" t="s">
        <v>385</v>
      </c>
      <c r="N214" s="37" t="s">
        <v>27</v>
      </c>
      <c r="O214" s="40" t="s">
        <v>455</v>
      </c>
      <c r="P214" s="40" t="s">
        <v>480</v>
      </c>
      <c r="Q214" s="37" t="s">
        <v>456</v>
      </c>
      <c r="R214" s="37" t="s">
        <v>62</v>
      </c>
      <c r="S214" s="37" t="s">
        <v>63</v>
      </c>
      <c r="T214" s="37" t="s">
        <v>387</v>
      </c>
      <c r="U214" s="37" t="s">
        <v>133</v>
      </c>
      <c r="V214" s="37" t="s">
        <v>134</v>
      </c>
      <c r="W214" s="37" t="s">
        <v>996</v>
      </c>
      <c r="X214" s="1" t="n">
        <v>28</v>
      </c>
      <c r="AF214" s="1" t="s">
        <v>389</v>
      </c>
      <c r="AG214" s="62" t="s">
        <v>446</v>
      </c>
      <c r="AH214" s="52" t="s">
        <v>877</v>
      </c>
      <c r="AJ214" s="1" t="s">
        <v>448</v>
      </c>
      <c r="AL214" s="53" t="n">
        <v>328122.8</v>
      </c>
      <c r="AM214" s="53" t="n">
        <v>226477.7</v>
      </c>
      <c r="AN214" s="53" t="n">
        <v>356838.1</v>
      </c>
      <c r="AO214" s="53" t="n">
        <v>84161</v>
      </c>
      <c r="AP214" s="53" t="n">
        <v>1028315.6</v>
      </c>
      <c r="AQ214" s="53" t="n">
        <v>13841.3</v>
      </c>
      <c r="AR214" s="53" t="n">
        <v>11920.8</v>
      </c>
      <c r="BA214" s="64" t="n">
        <f aca="false">AL214/SUM($AL214:$AQ214)</f>
        <v>0.161021594091345</v>
      </c>
      <c r="BB214" s="64" t="n">
        <f aca="false">AM214/SUM($AL214:$AQ214)</f>
        <v>0.111140707930511</v>
      </c>
      <c r="BC214" s="64" t="n">
        <f aca="false">AN214/SUM($AL214:$AQ214)</f>
        <v>0.175113218875759</v>
      </c>
      <c r="BD214" s="64" t="n">
        <f aca="false">AO214/SUM($AL214:$AQ214)</f>
        <v>0.0413008129283357</v>
      </c>
      <c r="BE214" s="64" t="n">
        <f aca="false">AP214/SUM($AL214:$AQ214)</f>
        <v>0.50463124519539</v>
      </c>
      <c r="BF214" s="64" t="n">
        <f aca="false">AQ214/SUM($AL214:$AQ214)</f>
        <v>0.00679242097865962</v>
      </c>
      <c r="BG214" s="65" t="e">
        <f aca="false">#N/A</f>
        <v>#N/A</v>
      </c>
      <c r="BH214" s="37" t="s">
        <v>393</v>
      </c>
      <c r="BI214" s="37" t="s">
        <v>463</v>
      </c>
      <c r="BJ214" s="37" t="s">
        <v>879</v>
      </c>
      <c r="BK214" s="40" t="s">
        <v>5</v>
      </c>
      <c r="BL214" s="40" t="s">
        <v>5</v>
      </c>
      <c r="BM214" s="37" t="s">
        <v>397</v>
      </c>
      <c r="BN214" s="37" t="s">
        <v>397</v>
      </c>
      <c r="BO214" s="37" t="s">
        <v>595</v>
      </c>
      <c r="BP214" s="37" t="s">
        <v>397</v>
      </c>
      <c r="BQ214" s="37" t="s">
        <v>397</v>
      </c>
      <c r="BR214" s="37" t="s">
        <v>405</v>
      </c>
      <c r="BS214" s="37" t="s">
        <v>405</v>
      </c>
      <c r="BT214" s="37" t="s">
        <v>880</v>
      </c>
      <c r="BU214" s="37" t="s">
        <v>466</v>
      </c>
      <c r="BV214" s="37" t="s">
        <v>881</v>
      </c>
      <c r="BW214" s="37" t="s">
        <v>881</v>
      </c>
    </row>
    <row r="215" customFormat="false" ht="14.9" hidden="false" customHeight="false" outlineLevel="0" collapsed="false">
      <c r="A215" s="1" t="s">
        <v>997</v>
      </c>
      <c r="B215" s="51" t="s">
        <v>130</v>
      </c>
      <c r="C215" s="37" t="s">
        <v>129</v>
      </c>
      <c r="D215" s="37" t="n">
        <f aca="false">INDEX(Strain_IDs!C:C,MATCH(Table1[[#This Row],[Strains]],Strain_IDs!D:D,0))</f>
        <v>7</v>
      </c>
      <c r="E215" s="37" t="s">
        <v>382</v>
      </c>
      <c r="F215" s="37" t="s">
        <v>20</v>
      </c>
      <c r="G215" s="37" t="s">
        <v>21</v>
      </c>
      <c r="H215" s="37" t="s">
        <v>27</v>
      </c>
      <c r="I215" s="37" t="s">
        <v>455</v>
      </c>
      <c r="J215" s="37" t="s">
        <v>480</v>
      </c>
      <c r="K215" s="37" t="s">
        <v>384</v>
      </c>
      <c r="L215" s="37" t="s">
        <v>20</v>
      </c>
      <c r="M215" s="37" t="s">
        <v>385</v>
      </c>
      <c r="N215" s="37" t="s">
        <v>27</v>
      </c>
      <c r="O215" s="40" t="s">
        <v>455</v>
      </c>
      <c r="P215" s="40" t="s">
        <v>480</v>
      </c>
      <c r="Q215" s="37" t="s">
        <v>456</v>
      </c>
      <c r="R215" s="37" t="s">
        <v>62</v>
      </c>
      <c r="S215" s="37" t="s">
        <v>63</v>
      </c>
      <c r="T215" s="37" t="s">
        <v>387</v>
      </c>
      <c r="U215" s="37" t="s">
        <v>133</v>
      </c>
      <c r="V215" s="37" t="s">
        <v>134</v>
      </c>
      <c r="W215" s="37" t="s">
        <v>998</v>
      </c>
      <c r="X215" s="1" t="n">
        <v>32</v>
      </c>
      <c r="AF215" s="1" t="s">
        <v>389</v>
      </c>
      <c r="AG215" s="62" t="s">
        <v>446</v>
      </c>
      <c r="AH215" s="52" t="s">
        <v>877</v>
      </c>
      <c r="AJ215" s="1" t="s">
        <v>448</v>
      </c>
      <c r="AL215" s="53" t="n">
        <v>235671.8</v>
      </c>
      <c r="AM215" s="53" t="n">
        <v>183375.4</v>
      </c>
      <c r="AN215" s="53" t="n">
        <v>510539.6</v>
      </c>
      <c r="AO215" s="53" t="n">
        <v>115040.8</v>
      </c>
      <c r="AP215" s="53" t="n">
        <v>1559704.8</v>
      </c>
      <c r="AQ215" s="53" t="n">
        <v>20008.1</v>
      </c>
      <c r="AR215" s="53" t="n">
        <v>8879.5</v>
      </c>
      <c r="BA215" s="64" t="n">
        <f aca="false">AL215/SUM($AL215:$AQ215)</f>
        <v>0.0898022950909</v>
      </c>
      <c r="BB215" s="64" t="n">
        <f aca="false">AM215/SUM($AL215:$AQ215)</f>
        <v>0.0698748504624305</v>
      </c>
      <c r="BC215" s="64" t="n">
        <f aca="false">AN215/SUM($AL215:$AQ215)</f>
        <v>0.194540152087734</v>
      </c>
      <c r="BD215" s="64" t="n">
        <f aca="false">AO215/SUM($AL215:$AQ215)</f>
        <v>0.0438360799598985</v>
      </c>
      <c r="BE215" s="64" t="n">
        <f aca="false">AP215/SUM($AL215:$AQ215)</f>
        <v>0.594322573614209</v>
      </c>
      <c r="BF215" s="64" t="n">
        <f aca="false">AQ215/SUM($AL215:$AQ215)</f>
        <v>0.00762404878482804</v>
      </c>
      <c r="BG215" s="65" t="e">
        <f aca="false">#N/A</f>
        <v>#N/A</v>
      </c>
      <c r="BH215" s="37" t="s">
        <v>393</v>
      </c>
      <c r="BI215" s="37" t="s">
        <v>463</v>
      </c>
      <c r="BJ215" s="37" t="s">
        <v>879</v>
      </c>
      <c r="BK215" s="40" t="s">
        <v>5</v>
      </c>
      <c r="BL215" s="40" t="s">
        <v>5</v>
      </c>
      <c r="BM215" s="37" t="s">
        <v>397</v>
      </c>
      <c r="BN215" s="37" t="s">
        <v>397</v>
      </c>
      <c r="BO215" s="37" t="s">
        <v>595</v>
      </c>
      <c r="BP215" s="37" t="s">
        <v>397</v>
      </c>
      <c r="BQ215" s="37" t="s">
        <v>397</v>
      </c>
      <c r="BR215" s="37" t="s">
        <v>405</v>
      </c>
      <c r="BS215" s="37" t="s">
        <v>405</v>
      </c>
      <c r="BT215" s="37" t="s">
        <v>880</v>
      </c>
      <c r="BU215" s="37" t="s">
        <v>466</v>
      </c>
      <c r="BV215" s="37" t="s">
        <v>881</v>
      </c>
      <c r="BW215" s="37" t="s">
        <v>881</v>
      </c>
    </row>
    <row r="216" customFormat="false" ht="14.9" hidden="false" customHeight="false" outlineLevel="0" collapsed="false">
      <c r="A216" s="1" t="s">
        <v>999</v>
      </c>
      <c r="B216" s="51" t="s">
        <v>130</v>
      </c>
      <c r="C216" s="37" t="s">
        <v>129</v>
      </c>
      <c r="D216" s="37" t="n">
        <f aca="false">INDEX(Strain_IDs!C:C,MATCH(Table1[[#This Row],[Strains]],Strain_IDs!D:D,0))</f>
        <v>7</v>
      </c>
      <c r="E216" s="37" t="s">
        <v>382</v>
      </c>
      <c r="F216" s="37" t="s">
        <v>20</v>
      </c>
      <c r="G216" s="37" t="s">
        <v>21</v>
      </c>
      <c r="H216" s="37" t="s">
        <v>27</v>
      </c>
      <c r="I216" s="37" t="s">
        <v>455</v>
      </c>
      <c r="J216" s="37" t="s">
        <v>480</v>
      </c>
      <c r="K216" s="37" t="s">
        <v>384</v>
      </c>
      <c r="L216" s="37" t="s">
        <v>20</v>
      </c>
      <c r="M216" s="37" t="s">
        <v>385</v>
      </c>
      <c r="N216" s="37" t="s">
        <v>27</v>
      </c>
      <c r="O216" s="40" t="s">
        <v>455</v>
      </c>
      <c r="P216" s="40" t="s">
        <v>480</v>
      </c>
      <c r="Q216" s="37" t="s">
        <v>456</v>
      </c>
      <c r="R216" s="37" t="s">
        <v>62</v>
      </c>
      <c r="S216" s="37" t="s">
        <v>63</v>
      </c>
      <c r="T216" s="37" t="s">
        <v>387</v>
      </c>
      <c r="U216" s="37" t="s">
        <v>133</v>
      </c>
      <c r="V216" s="37" t="s">
        <v>134</v>
      </c>
      <c r="W216" s="37" t="s">
        <v>1000</v>
      </c>
      <c r="X216" s="1" t="n">
        <v>32</v>
      </c>
      <c r="AF216" s="1" t="s">
        <v>389</v>
      </c>
      <c r="AG216" s="62" t="s">
        <v>446</v>
      </c>
      <c r="AH216" s="52" t="s">
        <v>877</v>
      </c>
      <c r="AJ216" s="1" t="s">
        <v>448</v>
      </c>
      <c r="AL216" s="53" t="n">
        <v>1804492.6</v>
      </c>
      <c r="AM216" s="53" t="n">
        <v>1115804.4</v>
      </c>
      <c r="AN216" s="53" t="n">
        <v>1968107</v>
      </c>
      <c r="AO216" s="53" t="n">
        <v>578006.4</v>
      </c>
      <c r="AP216" s="53" t="n">
        <v>10068071</v>
      </c>
      <c r="AQ216" s="53" t="n">
        <v>126040.5</v>
      </c>
      <c r="AR216" s="53" t="n">
        <v>87438.9</v>
      </c>
      <c r="BA216" s="64" t="n">
        <f aca="false">AL216/SUM($AL216:$AQ216)</f>
        <v>0.115225572399346</v>
      </c>
      <c r="BB216" s="64" t="n">
        <f aca="false">AM216/SUM($AL216:$AQ216)</f>
        <v>0.0712495028661848</v>
      </c>
      <c r="BC216" s="64" t="n">
        <f aca="false">AN216/SUM($AL216:$AQ216)</f>
        <v>0.125673142476816</v>
      </c>
      <c r="BD216" s="64" t="n">
        <f aca="false">AO216/SUM($AL216:$AQ216)</f>
        <v>0.036908501753061</v>
      </c>
      <c r="BE216" s="64" t="n">
        <f aca="false">AP216/SUM($AL216:$AQ216)</f>
        <v>0.642894985511307</v>
      </c>
      <c r="BF216" s="64" t="n">
        <f aca="false">AQ216/SUM($AL216:$AQ216)</f>
        <v>0.00804829499328499</v>
      </c>
      <c r="BG216" s="65" t="e">
        <f aca="false">#N/A</f>
        <v>#N/A</v>
      </c>
      <c r="BH216" s="37" t="s">
        <v>393</v>
      </c>
      <c r="BI216" s="37" t="s">
        <v>463</v>
      </c>
      <c r="BJ216" s="37" t="s">
        <v>879</v>
      </c>
      <c r="BK216" s="40" t="s">
        <v>5</v>
      </c>
      <c r="BL216" s="40" t="s">
        <v>5</v>
      </c>
      <c r="BM216" s="37" t="s">
        <v>397</v>
      </c>
      <c r="BN216" s="37" t="s">
        <v>397</v>
      </c>
      <c r="BO216" s="37" t="s">
        <v>595</v>
      </c>
      <c r="BP216" s="37" t="s">
        <v>397</v>
      </c>
      <c r="BQ216" s="37" t="s">
        <v>397</v>
      </c>
      <c r="BR216" s="37" t="s">
        <v>405</v>
      </c>
      <c r="BS216" s="37" t="s">
        <v>405</v>
      </c>
      <c r="BT216" s="37" t="s">
        <v>880</v>
      </c>
      <c r="BU216" s="37" t="s">
        <v>466</v>
      </c>
      <c r="BV216" s="37" t="s">
        <v>881</v>
      </c>
      <c r="BW216" s="37" t="s">
        <v>881</v>
      </c>
    </row>
    <row r="217" customFormat="false" ht="14.9" hidden="false" customHeight="false" outlineLevel="0" collapsed="false">
      <c r="A217" s="1" t="s">
        <v>1001</v>
      </c>
      <c r="B217" s="51" t="s">
        <v>130</v>
      </c>
      <c r="C217" s="37" t="s">
        <v>129</v>
      </c>
      <c r="D217" s="37" t="n">
        <f aca="false">INDEX(Strain_IDs!C:C,MATCH(Table1[[#This Row],[Strains]],Strain_IDs!D:D,0))</f>
        <v>7</v>
      </c>
      <c r="E217" s="37" t="s">
        <v>382</v>
      </c>
      <c r="F217" s="37" t="s">
        <v>20</v>
      </c>
      <c r="G217" s="37" t="s">
        <v>21</v>
      </c>
      <c r="H217" s="37" t="s">
        <v>27</v>
      </c>
      <c r="I217" s="37" t="s">
        <v>455</v>
      </c>
      <c r="J217" s="37" t="s">
        <v>480</v>
      </c>
      <c r="K217" s="37" t="s">
        <v>384</v>
      </c>
      <c r="L217" s="37" t="s">
        <v>20</v>
      </c>
      <c r="M217" s="37" t="s">
        <v>385</v>
      </c>
      <c r="N217" s="37" t="s">
        <v>27</v>
      </c>
      <c r="O217" s="40" t="s">
        <v>455</v>
      </c>
      <c r="P217" s="40" t="s">
        <v>480</v>
      </c>
      <c r="Q217" s="37" t="s">
        <v>456</v>
      </c>
      <c r="R217" s="37" t="s">
        <v>62</v>
      </c>
      <c r="S217" s="37" t="s">
        <v>63</v>
      </c>
      <c r="T217" s="37" t="s">
        <v>387</v>
      </c>
      <c r="U217" s="37" t="s">
        <v>133</v>
      </c>
      <c r="V217" s="37" t="s">
        <v>134</v>
      </c>
      <c r="W217" s="37" t="s">
        <v>1002</v>
      </c>
      <c r="X217" s="1" t="n">
        <v>32</v>
      </c>
      <c r="AF217" s="1" t="s">
        <v>389</v>
      </c>
      <c r="AG217" s="62" t="s">
        <v>446</v>
      </c>
      <c r="AH217" s="52" t="s">
        <v>877</v>
      </c>
      <c r="AJ217" s="1" t="s">
        <v>448</v>
      </c>
      <c r="AL217" s="53" t="n">
        <v>654174.4</v>
      </c>
      <c r="AM217" s="53" t="n">
        <v>465638.5</v>
      </c>
      <c r="AN217" s="53" t="n">
        <v>1174394.4</v>
      </c>
      <c r="AO217" s="53" t="n">
        <v>280188.3</v>
      </c>
      <c r="AP217" s="53" t="n">
        <v>3611070.3</v>
      </c>
      <c r="AQ217" s="53" t="n">
        <v>42261.7</v>
      </c>
      <c r="AR217" s="53" t="n">
        <v>24387.2</v>
      </c>
      <c r="BA217" s="64" t="n">
        <f aca="false">AL217/SUM($AL217:$AQ217)</f>
        <v>0.10504223081305</v>
      </c>
      <c r="BB217" s="64" t="n">
        <f aca="false">AM217/SUM($AL217:$AQ217)</f>
        <v>0.0747686042016353</v>
      </c>
      <c r="BC217" s="64" t="n">
        <f aca="false">AN217/SUM($AL217:$AQ217)</f>
        <v>0.188575107234941</v>
      </c>
      <c r="BD217" s="64" t="n">
        <f aca="false">AO217/SUM($AL217:$AQ217)</f>
        <v>0.0449904552665406</v>
      </c>
      <c r="BE217" s="64" t="n">
        <f aca="false">AP217/SUM($AL217:$AQ217)</f>
        <v>0.579837547807968</v>
      </c>
      <c r="BF217" s="64" t="n">
        <f aca="false">AQ217/SUM($AL217:$AQ217)</f>
        <v>0.00678605467586604</v>
      </c>
      <c r="BG217" s="65" t="e">
        <f aca="false">#N/A</f>
        <v>#N/A</v>
      </c>
      <c r="BH217" s="37" t="s">
        <v>393</v>
      </c>
      <c r="BI217" s="37" t="s">
        <v>463</v>
      </c>
      <c r="BJ217" s="37" t="s">
        <v>879</v>
      </c>
      <c r="BK217" s="40" t="s">
        <v>5</v>
      </c>
      <c r="BL217" s="40" t="s">
        <v>5</v>
      </c>
      <c r="BM217" s="37" t="s">
        <v>397</v>
      </c>
      <c r="BN217" s="37" t="s">
        <v>397</v>
      </c>
      <c r="BO217" s="37" t="s">
        <v>595</v>
      </c>
      <c r="BP217" s="37" t="s">
        <v>397</v>
      </c>
      <c r="BQ217" s="37" t="s">
        <v>397</v>
      </c>
      <c r="BR217" s="37" t="s">
        <v>405</v>
      </c>
      <c r="BS217" s="37" t="s">
        <v>405</v>
      </c>
      <c r="BT217" s="37" t="s">
        <v>880</v>
      </c>
      <c r="BU217" s="37" t="s">
        <v>466</v>
      </c>
      <c r="BV217" s="37" t="s">
        <v>881</v>
      </c>
      <c r="BW217" s="37" t="s">
        <v>881</v>
      </c>
    </row>
    <row r="1048576" customFormat="false" ht="12.8" hidden="false" customHeight="false" outlineLevel="0" collapsed="false"/>
  </sheetData>
  <conditionalFormatting sqref="BA1:BF21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G1:BG217">
    <cfRule type="cellIs" priority="3" operator="greaterThanOrEqual" aboveAverage="0" equalAverage="0" bottom="0" percent="0" rank="0" text="" dxfId="291">
      <formula>0.5</formula>
    </cfRule>
  </conditionalFormatting>
  <hyperlinks>
    <hyperlink ref="BV23" r:id="rId2" display="https://doi.org/10.1016/j.gca.2015.09.004"/>
    <hyperlink ref="BV24" r:id="rId3" display="https://doi.org/10.1016/j.gca.2015.09.004"/>
    <hyperlink ref="BV25" r:id="rId4" display="https://doi.org/10.1016/j.gca.2015.09.004"/>
    <hyperlink ref="BV26" r:id="rId5" display="https://doi.org/10.1016/j.gca.2015.09.004"/>
    <hyperlink ref="BV27" r:id="rId6" display="https://doi.org/10.1016/j.gca.2015.09.004"/>
    <hyperlink ref="BV28" r:id="rId7" display="https://doi.org/10.1016/j.gca.2015.09.004"/>
    <hyperlink ref="BV29" r:id="rId8" display="https://doi.org/10.1016/j.gca.2015.09.004"/>
    <hyperlink ref="BV30" r:id="rId9" display="https://doi.org/10.1016/j.gca.2015.09.004"/>
    <hyperlink ref="BV31" r:id="rId10" display="https://doi.org/10.1016/j.gca.2015.09.004"/>
    <hyperlink ref="BV32" r:id="rId11" display="https://doi.org/10.1016/j.gca.2015.09.004"/>
    <hyperlink ref="BV60" r:id="rId12" display="https://doi.org/10.1128/AEM.02450-07"/>
    <hyperlink ref="BV61" r:id="rId13" display="https://doi.org/10.1128/AEM.02450-07"/>
    <hyperlink ref="BV62" r:id="rId14" display="https://doi.org/10.1128/AEM.02450-07"/>
    <hyperlink ref="BV63" r:id="rId15" display="https://doi.org/10.1128/AEM.02450-07"/>
    <hyperlink ref="BV64" r:id="rId16" display="https://doi.org/10.1128/AEM.02450-07"/>
    <hyperlink ref="BV65" r:id="rId17" display="https://doi.org/10.1128/AEM.02450-07"/>
    <hyperlink ref="BV66" r:id="rId18" display="https://doi.org/10.1128/AEM.02450-07"/>
    <hyperlink ref="BV67" r:id="rId19" display="https://doi.org/10.1128/AEM.02450-07"/>
    <hyperlink ref="BV189" r:id="rId20" display="'https://doi.org/10.1016/j.gca.2018.09.001"/>
    <hyperlink ref="BV190" r:id="rId21" display="'https://doi.org/10.1016/j.gca.2018.09.001"/>
    <hyperlink ref="BV191" r:id="rId22" display="'https://doi.org/10.1016/j.gca.2018.09.001"/>
    <hyperlink ref="BV192" r:id="rId23" display="'https://doi.org/10.1016/j.gca.2018.09.001"/>
    <hyperlink ref="BV193" r:id="rId24" display="'https://doi.org/10.1016/j.gca.2018.09.001"/>
    <hyperlink ref="BV194" r:id="rId25" display="'https://doi.org/10.1016/j.gca.2018.09.001"/>
    <hyperlink ref="BV195" r:id="rId26" display="'https://doi.org/10.1016/j.gca.2018.09.001"/>
    <hyperlink ref="BV196" r:id="rId27" display="'https://doi.org/10.1016/j.gca.2018.09.001"/>
    <hyperlink ref="BV197" r:id="rId28" display="'https://doi.org/10.1016/j.gca.2018.09.001"/>
    <hyperlink ref="BV198" r:id="rId29" display="'https://doi.org/10.1016/j.gca.2018.09.001"/>
    <hyperlink ref="BV199" r:id="rId30" display="'https://doi.org/10.1016/j.gca.2018.09.001"/>
    <hyperlink ref="BV200" r:id="rId31" display="'https://doi.org/10.1016/j.gca.2018.09.001"/>
    <hyperlink ref="BV201" r:id="rId32" display="'https://doi.org/10.1016/j.gca.2018.09.001"/>
    <hyperlink ref="BV202" r:id="rId33" display="'https://doi.org/10.1016/j.gca.2018.09.001"/>
    <hyperlink ref="BV203" r:id="rId34" display="'https://doi.org/10.1016/j.gca.2018.09.001"/>
    <hyperlink ref="BV204" r:id="rId35" display="'https://doi.org/10.1016/j.gca.2018.09.001"/>
    <hyperlink ref="BV205" r:id="rId36" display="'https://doi.org/10.1016/j.gca.2018.09.001"/>
    <hyperlink ref="BV206" r:id="rId37" display="'https://doi.org/10.1016/j.gca.2018.09.001"/>
    <hyperlink ref="BV207" r:id="rId38" display="'https://doi.org/10.1016/j.gca.2018.09.001"/>
    <hyperlink ref="BV208" r:id="rId39" display="'https://doi.org/10.1016/j.gca.2018.09.00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0"/>
  <tableParts>
    <tablePart r:id="rId4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1" zoomScaleNormal="111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2024-02-21T20:36:35Z</dcterms:created>
  <dc:creator>Rattanasriampaipong, Ronnie - (ronnakritr)</dc:creator>
  <dc:description/>
  <dc:language>en-US</dc:language>
  <cp:lastModifiedBy/>
  <dcterms:modified xsi:type="dcterms:W3CDTF">2025-04-03T15:17:14Z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