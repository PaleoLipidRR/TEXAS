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angtran/Library/CloudStorage/GoogleDrive-trang.tthb@gmail.com/.shortcut-targets-by-id/1YigDqX7cdf0LGqY-Ya_xS0cmG-HyDtI4/TrangDissertationMaterials/"/>
    </mc:Choice>
  </mc:AlternateContent>
  <xr:revisionPtr revIDLastSave="0" documentId="13_ncr:1_{C68A460C-D0F4-D643-B9D7-F360F6D0D3A9}" xr6:coauthVersionLast="47" xr6:coauthVersionMax="47" xr10:uidLastSave="{00000000-0000-0000-0000-000000000000}"/>
  <bookViews>
    <workbookView xWindow="60" yWindow="500" windowWidth="28800" windowHeight="17500" activeTab="1" xr2:uid="{1B4EB34E-11CC-F046-86BB-115087078411}"/>
  </bookViews>
  <sheets>
    <sheet name="CoreTop_Tex86" sheetId="2" r:id="rId1"/>
    <sheet name="Tex86_0-2cm" sheetId="4" r:id="rId2"/>
    <sheet name="CoreTop_Uk37" sheetId="1" r:id="rId3"/>
    <sheet name="Uk37_0-2cm" sheetId="5" r:id="rId4"/>
    <sheet name="Novak2022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5" i="4" l="1"/>
  <c r="AS33" i="4"/>
  <c r="AS27" i="4"/>
  <c r="AS28" i="4"/>
  <c r="AS29" i="4"/>
  <c r="AS30" i="4"/>
  <c r="AS31" i="4"/>
  <c r="AS32" i="4"/>
  <c r="AS34" i="4"/>
  <c r="AS35" i="4"/>
  <c r="AS36" i="4"/>
  <c r="AS37" i="4"/>
  <c r="AS38" i="4"/>
  <c r="AS39" i="4"/>
  <c r="AS40" i="4"/>
  <c r="AS41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5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5" i="4"/>
  <c r="AP5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48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</calcChain>
</file>

<file path=xl/sharedStrings.xml><?xml version="1.0" encoding="utf-8"?>
<sst xmlns="http://schemas.openxmlformats.org/spreadsheetml/2006/main" count="1355" uniqueCount="319">
  <si>
    <t>Sample label</t>
  </si>
  <si>
    <t>WaterDepth</t>
  </si>
  <si>
    <t>Latitude</t>
  </si>
  <si>
    <t>Longitude</t>
  </si>
  <si>
    <t>Sample depth</t>
  </si>
  <si>
    <t>TEX86</t>
  </si>
  <si>
    <t>BIT</t>
  </si>
  <si>
    <t>MI</t>
  </si>
  <si>
    <t>RI-sample</t>
  </si>
  <si>
    <t>RI-Tex</t>
  </si>
  <si>
    <t>DeltaRI</t>
  </si>
  <si>
    <t>SST_2.5</t>
  </si>
  <si>
    <t>SST_50</t>
  </si>
  <si>
    <t>SST_97.5</t>
  </si>
  <si>
    <t>ASE#</t>
  </si>
  <si>
    <t>Uk Average</t>
  </si>
  <si>
    <t>Annual SST</t>
  </si>
  <si>
    <t>JFM SST</t>
  </si>
  <si>
    <t>AMJ SST</t>
  </si>
  <si>
    <t>Novak et al, 2022</t>
  </si>
  <si>
    <t>Average</t>
  </si>
  <si>
    <t>STDEV</t>
  </si>
  <si>
    <t>uk37</t>
  </si>
  <si>
    <t>Sample ID</t>
  </si>
  <si>
    <t>UK'37</t>
  </si>
  <si>
    <t>0-1cm</t>
  </si>
  <si>
    <t>b1_2</t>
  </si>
  <si>
    <t>28.225882</t>
  </si>
  <si>
    <t>29.243704</t>
  </si>
  <si>
    <t>28.806534</t>
  </si>
  <si>
    <t>1-2cm</t>
  </si>
  <si>
    <t>b4_2</t>
  </si>
  <si>
    <t>b2_3</t>
  </si>
  <si>
    <t>28.04435</t>
  </si>
  <si>
    <t>29.235815</t>
  </si>
  <si>
    <t>28.644003</t>
  </si>
  <si>
    <t>b1_10</t>
  </si>
  <si>
    <t>b1_9</t>
  </si>
  <si>
    <t>27.720236</t>
  </si>
  <si>
    <t>29.158068</t>
  </si>
  <si>
    <t>28.314001</t>
  </si>
  <si>
    <t>b4_3</t>
  </si>
  <si>
    <t>b1_4</t>
  </si>
  <si>
    <t>27.527098</t>
  </si>
  <si>
    <t>29.172394</t>
  </si>
  <si>
    <t>28.09397</t>
  </si>
  <si>
    <t>b4_8</t>
  </si>
  <si>
    <t>b1_6</t>
  </si>
  <si>
    <t>27.402267</t>
  </si>
  <si>
    <t>29.0179</t>
  </si>
  <si>
    <t>27.999998</t>
  </si>
  <si>
    <t>b4_5</t>
  </si>
  <si>
    <t>b2_13</t>
  </si>
  <si>
    <t>27.187714</t>
  </si>
  <si>
    <t>28.847807</t>
  </si>
  <si>
    <t>27.863182</t>
  </si>
  <si>
    <t>b1_8</t>
  </si>
  <si>
    <t>27.09817</t>
  </si>
  <si>
    <t>28.903597</t>
  </si>
  <si>
    <t>27.718714</t>
  </si>
  <si>
    <t>b4_6</t>
  </si>
  <si>
    <t>b1_1</t>
  </si>
  <si>
    <t>27.17896</t>
  </si>
  <si>
    <t>28.922516</t>
  </si>
  <si>
    <t>27.804886</t>
  </si>
  <si>
    <t>b4_9</t>
  </si>
  <si>
    <t>b1_7</t>
  </si>
  <si>
    <t>27.420599</t>
  </si>
  <si>
    <t>28.8413</t>
  </si>
  <si>
    <t>28.0838</t>
  </si>
  <si>
    <t>b2_5</t>
  </si>
  <si>
    <t>27.302599</t>
  </si>
  <si>
    <t>28.853647</t>
  </si>
  <si>
    <t>27.986849</t>
  </si>
  <si>
    <t>b1_5</t>
  </si>
  <si>
    <t>26.916954</t>
  </si>
  <si>
    <t>28.520735</t>
  </si>
  <si>
    <t>27.909163</t>
  </si>
  <si>
    <t>b4_4</t>
  </si>
  <si>
    <t>b1_11</t>
  </si>
  <si>
    <t>26.98049</t>
  </si>
  <si>
    <t>28.5468</t>
  </si>
  <si>
    <t>27.952932</t>
  </si>
  <si>
    <t>b4_1</t>
  </si>
  <si>
    <t>b2_9</t>
  </si>
  <si>
    <t>26.57813</t>
  </si>
  <si>
    <t>28.395086</t>
  </si>
  <si>
    <t>27.593714</t>
  </si>
  <si>
    <t>b2_7</t>
  </si>
  <si>
    <t>26.692001</t>
  </si>
  <si>
    <t>28.444984</t>
  </si>
  <si>
    <t>27.70752</t>
  </si>
  <si>
    <t>b1_3</t>
  </si>
  <si>
    <t>26.442345</t>
  </si>
  <si>
    <t>28.201332</t>
  </si>
  <si>
    <t>27.462364</t>
  </si>
  <si>
    <t>b4_7</t>
  </si>
  <si>
    <t>b2_1</t>
  </si>
  <si>
    <t>26.027931</t>
  </si>
  <si>
    <t>28.065935</t>
  </si>
  <si>
    <t>26.954</t>
  </si>
  <si>
    <t>b2_15</t>
  </si>
  <si>
    <t>26.138014</t>
  </si>
  <si>
    <t>28.027315</t>
  </si>
  <si>
    <t>27.246948</t>
  </si>
  <si>
    <t>2-3cm</t>
  </si>
  <si>
    <t>b2_10</t>
  </si>
  <si>
    <t>26.270775</t>
  </si>
  <si>
    <t>28.096548</t>
  </si>
  <si>
    <t>27.25888</t>
  </si>
  <si>
    <t>b2_4</t>
  </si>
  <si>
    <t>26.157064</t>
  </si>
  <si>
    <t>27.999481</t>
  </si>
  <si>
    <t>27.134108</t>
  </si>
  <si>
    <t>b2_12</t>
  </si>
  <si>
    <t>25.898916</t>
  </si>
  <si>
    <t>27.819567</t>
  </si>
  <si>
    <t>26.961151</t>
  </si>
  <si>
    <t>b2_2</t>
  </si>
  <si>
    <t>25.790619</t>
  </si>
  <si>
    <t>27.654161</t>
  </si>
  <si>
    <t>26.889017</t>
  </si>
  <si>
    <t>b2_6</t>
  </si>
  <si>
    <t>25.078882</t>
  </si>
  <si>
    <t>26.834534</t>
  </si>
  <si>
    <t>26.347466</t>
  </si>
  <si>
    <t>b3_3</t>
  </si>
  <si>
    <t>25.101097</t>
  </si>
  <si>
    <t>26.871834</t>
  </si>
  <si>
    <t>26.304031</t>
  </si>
  <si>
    <t>b2_14</t>
  </si>
  <si>
    <t>24.818115</t>
  </si>
  <si>
    <t>26.574173</t>
  </si>
  <si>
    <t>25.984064</t>
  </si>
  <si>
    <t>b3_8</t>
  </si>
  <si>
    <t>23.888487</t>
  </si>
  <si>
    <t>25.307785</t>
  </si>
  <si>
    <t>25.077272</t>
  </si>
  <si>
    <t>b3_5</t>
  </si>
  <si>
    <t>23.845446</t>
  </si>
  <si>
    <t>25.2919</t>
  </si>
  <si>
    <t>24.94568</t>
  </si>
  <si>
    <t>b3_11</t>
  </si>
  <si>
    <t>23.723131</t>
  </si>
  <si>
    <t>25.187078</t>
  </si>
  <si>
    <t>24.752838</t>
  </si>
  <si>
    <t>b2_8</t>
  </si>
  <si>
    <t>23.041372</t>
  </si>
  <si>
    <t>24.58505</t>
  </si>
  <si>
    <t>23.847498</t>
  </si>
  <si>
    <t>b2_11</t>
  </si>
  <si>
    <t>23.422714</t>
  </si>
  <si>
    <t>24.805017</t>
  </si>
  <si>
    <t>24.484026</t>
  </si>
  <si>
    <t>b3_7</t>
  </si>
  <si>
    <t>23.40541</t>
  </si>
  <si>
    <t>24.904915</t>
  </si>
  <si>
    <t>24.309532</t>
  </si>
  <si>
    <t>b3_9</t>
  </si>
  <si>
    <t>22.897448</t>
  </si>
  <si>
    <t>24.392088</t>
  </si>
  <si>
    <t>23.798079</t>
  </si>
  <si>
    <t>b3_2</t>
  </si>
  <si>
    <t>22.307167</t>
  </si>
  <si>
    <t>23.599867</t>
  </si>
  <si>
    <t>23.6242</t>
  </si>
  <si>
    <t>b3_6</t>
  </si>
  <si>
    <t>22.46808</t>
  </si>
  <si>
    <t>23.753036</t>
  </si>
  <si>
    <t>23.727148</t>
  </si>
  <si>
    <t>b3_12</t>
  </si>
  <si>
    <t>22.253113</t>
  </si>
  <si>
    <t>23.526701</t>
  </si>
  <si>
    <t>23.620567</t>
  </si>
  <si>
    <t>b3_1</t>
  </si>
  <si>
    <t>22.31865</t>
  </si>
  <si>
    <t>23.558716</t>
  </si>
  <si>
    <t>23.743155</t>
  </si>
  <si>
    <t>b3_10</t>
  </si>
  <si>
    <t>22.215532</t>
  </si>
  <si>
    <t>23.425932</t>
  </si>
  <si>
    <t>23.639816</t>
  </si>
  <si>
    <t>b3_4</t>
  </si>
  <si>
    <t>21.861334</t>
  </si>
  <si>
    <t>23.116953</t>
  </si>
  <si>
    <t>23.15053</t>
  </si>
  <si>
    <t>Tex86</t>
  </si>
  <si>
    <t>Event</t>
  </si>
  <si>
    <t>Comment</t>
  </si>
  <si>
    <t>Expedition</t>
  </si>
  <si>
    <t>Depth top [m]</t>
  </si>
  <si>
    <t>Depth bot [m]</t>
  </si>
  <si>
    <t>Depth sed [m]</t>
  </si>
  <si>
    <t>Device</t>
  </si>
  <si>
    <t>Elevation [m a.s.l.]</t>
  </si>
  <si>
    <t>Date/Time</t>
  </si>
  <si>
    <t>Method comm</t>
  </si>
  <si>
    <t>UK'38Me</t>
  </si>
  <si>
    <t>UK'38Et</t>
  </si>
  <si>
    <t>UK'36ME</t>
  </si>
  <si>
    <t>K38ME/K38ET</t>
  </si>
  <si>
    <t>K37/K38</t>
  </si>
  <si>
    <t>SO257_1-3</t>
  </si>
  <si>
    <t>SO257 Crew</t>
  </si>
  <si>
    <t>SO257</t>
  </si>
  <si>
    <t>MC</t>
  </si>
  <si>
    <t>Saponification</t>
  </si>
  <si>
    <t>SO257_2-2</t>
  </si>
  <si>
    <t>SO257_3-3</t>
  </si>
  <si>
    <t>SO257_3-5</t>
  </si>
  <si>
    <t>SO257_3-7</t>
  </si>
  <si>
    <t>SO257_3-12</t>
  </si>
  <si>
    <t>SO257_3-14</t>
  </si>
  <si>
    <t>SO257_3-17</t>
  </si>
  <si>
    <t>SO257_3-19</t>
  </si>
  <si>
    <t>SO257_4-4</t>
  </si>
  <si>
    <t>SO257_4-9</t>
  </si>
  <si>
    <t>SO257_4-13</t>
  </si>
  <si>
    <t>SO257_4-20</t>
  </si>
  <si>
    <t>SO257_5-2</t>
  </si>
  <si>
    <t>SO257_5-5</t>
  </si>
  <si>
    <t>SO257_5-8</t>
  </si>
  <si>
    <t>SO257_5-12</t>
  </si>
  <si>
    <t>SO257_6-13</t>
  </si>
  <si>
    <t>SO257_7-3</t>
  </si>
  <si>
    <t>Silver Nitrate</t>
  </si>
  <si>
    <t>we don't have site 18548 sample</t>
  </si>
  <si>
    <t>WOA18</t>
  </si>
  <si>
    <t>JAS SST</t>
  </si>
  <si>
    <t>OND SST</t>
  </si>
  <si>
    <t>26.251556</t>
  </si>
  <si>
    <t>28.6017</t>
  </si>
  <si>
    <t>26.014097</t>
  </si>
  <si>
    <t>28.283468</t>
  </si>
  <si>
    <t>25.614653</t>
  </si>
  <si>
    <t>27.794237</t>
  </si>
  <si>
    <t>25.313734</t>
  </si>
  <si>
    <t>27.528267</t>
  </si>
  <si>
    <t>25.252157</t>
  </si>
  <si>
    <t>27.338984</t>
  </si>
  <si>
    <t>25.06765</t>
  </si>
  <si>
    <t>26.972181</t>
  </si>
  <si>
    <t>24.893501</t>
  </si>
  <si>
    <t>26.876982</t>
  </si>
  <si>
    <t>25.011282</t>
  </si>
  <si>
    <t>26.97712</t>
  </si>
  <si>
    <t>25.374367</t>
  </si>
  <si>
    <t>27.382914</t>
  </si>
  <si>
    <t>25.197382</t>
  </si>
  <si>
    <t>27.172533</t>
  </si>
  <si>
    <t>24.89208</t>
  </si>
  <si>
    <t>26.345963</t>
  </si>
  <si>
    <t>24.972878</t>
  </si>
  <si>
    <t>26.449486</t>
  </si>
  <si>
    <t>24.393682</t>
  </si>
  <si>
    <t>25.930002</t>
  </si>
  <si>
    <t>24.545822</t>
  </si>
  <si>
    <t>26.069717</t>
  </si>
  <si>
    <t>24.423065</t>
  </si>
  <si>
    <t>25.68258</t>
  </si>
  <si>
    <t>23.92705</t>
  </si>
  <si>
    <t>25.164736</t>
  </si>
  <si>
    <t>24.057467</t>
  </si>
  <si>
    <t>25.220308</t>
  </si>
  <si>
    <t>24.272322</t>
  </si>
  <si>
    <t>25.4554</t>
  </si>
  <si>
    <t>24.098333</t>
  </si>
  <si>
    <t>25.396286</t>
  </si>
  <si>
    <t>23.873001</t>
  </si>
  <si>
    <t>24.941933</t>
  </si>
  <si>
    <t>23.804972</t>
  </si>
  <si>
    <t>24.814331</t>
  </si>
  <si>
    <t>23.361115</t>
  </si>
  <si>
    <t>23.772547</t>
  </si>
  <si>
    <t>23.366112</t>
  </si>
  <si>
    <t>23.862463</t>
  </si>
  <si>
    <t>23.13595</t>
  </si>
  <si>
    <t>23.578318</t>
  </si>
  <si>
    <t>22.429453</t>
  </si>
  <si>
    <t>22.739494</t>
  </si>
  <si>
    <t>22.34867</t>
  </si>
  <si>
    <t>22.79553</t>
  </si>
  <si>
    <t>22.209915</t>
  </si>
  <si>
    <t>22.742683</t>
  </si>
  <si>
    <t>21.504004</t>
  </si>
  <si>
    <t>22.228935</t>
  </si>
  <si>
    <t>21.93027</t>
  </si>
  <si>
    <t>22.47156</t>
  </si>
  <si>
    <t>21.881493</t>
  </si>
  <si>
    <t>22.525698</t>
  </si>
  <si>
    <t>21.34645</t>
  </si>
  <si>
    <t>22.053152</t>
  </si>
  <si>
    <t>20.874456</t>
  </si>
  <si>
    <t>21.130144</t>
  </si>
  <si>
    <t>21.033234</t>
  </si>
  <si>
    <t>21.35891</t>
  </si>
  <si>
    <t>20.80948</t>
  </si>
  <si>
    <t>21.055681</t>
  </si>
  <si>
    <t>20.87116</t>
  </si>
  <si>
    <t>21.101538</t>
  </si>
  <si>
    <t>20.801867</t>
  </si>
  <si>
    <t>20.99452</t>
  </si>
  <si>
    <t>20.463839</t>
  </si>
  <si>
    <t>20.713951</t>
  </si>
  <si>
    <t>0-2cm</t>
  </si>
  <si>
    <t>*I take average of Uk37 and SSTs  for sites with 2 sample depths (0-1 and 1-2)</t>
  </si>
  <si>
    <t>* Only include Uk37 and SSTs  of sample depth 0-1 cm for sites with 2 sample depths (0-1 and 1-2)</t>
  </si>
  <si>
    <t>*I take average of Tex86, BIT, MI, RI-sample, RI-Tex, DeltaRI, and SSTs  for sites with 2 sample depths (0-1 and 1-2)</t>
  </si>
  <si>
    <t>* Only include values of Tex86, BIT, MI, RI-sample, RI-Tex, DeltaRI, and SSTs of sample depth 0-1 cm for sites with 2 sample depths (0-1 and 1-2)</t>
  </si>
  <si>
    <t>*Splash</t>
  </si>
  <si>
    <t>SiteID</t>
  </si>
  <si>
    <t>no3_sf2tc_avg</t>
  </si>
  <si>
    <t>T residual</t>
  </si>
  <si>
    <t>nitrate_0m</t>
  </si>
  <si>
    <t>JFM-AMJ</t>
  </si>
  <si>
    <t>data.t_sf2tc_avg</t>
  </si>
  <si>
    <t>Tex86_sf2tc</t>
  </si>
  <si>
    <t>use Roonie regression: TEX86 = 0.012*T(sf2tc) + 0.330</t>
  </si>
  <si>
    <t>TEX86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</si>
</sst>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0" borderId="0" xfId="0" applyFont="1" applyAlignment="1">
      <alignment horizontal="right"/>
    </xf>
    <xf numFmtId="164" fontId="0" fillId="0" borderId="0" xfId="0" applyNumberFormat="1"/>
    <xf numFmtId="0" fontId="6" fillId="0" borderId="0" xfId="0" applyFont="1"/>
    <xf numFmtId="0" fontId="5" fillId="0" borderId="0" xfId="0" applyFont="1" applyAlignment="1">
      <alignment horizontal="left"/>
    </xf>
    <xf numFmtId="14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right"/>
    </xf>
    <xf numFmtId="0" fontId="4" fillId="0" borderId="4" xfId="0" applyFont="1" applyBorder="1" applyAlignment="1">
      <alignment horizontal="center" vertical="top"/>
    </xf>
    <xf numFmtId="0" fontId="2" fillId="0" borderId="2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0" xfId="0" applyFont="1"/>
    <xf numFmtId="0" fontId="0" fillId="0" borderId="0" xfId="0" applyAlignment="1">
      <alignment horizontal="right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0" fillId="2" borderId="0" xfId="0" applyFill="1"/>
    <xf numFmtId="0" fontId="6" fillId="2" borderId="0" xfId="0" applyFont="1" applyFill="1"/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left"/>
    </xf>
    <xf numFmtId="0" fontId="0" fillId="0" borderId="4" xfId="0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SST</a:t>
            </a:r>
            <a:r>
              <a:rPr lang="en-US" baseline="0"/>
              <a:t> vs. JFM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5955380577427817E-2"/>
                  <c:y val="0.13384259259259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'Tex86_0-2cm'!$Q$5:$Q$41</c:f>
              <c:numCache>
                <c:formatCode>General</c:formatCode>
                <c:ptCount val="37"/>
                <c:pt idx="0">
                  <c:v>30.681129936742899</c:v>
                </c:pt>
                <c:pt idx="1">
                  <c:v>29.1754358529619</c:v>
                </c:pt>
                <c:pt idx="2">
                  <c:v>31.370809519350701</c:v>
                </c:pt>
                <c:pt idx="3">
                  <c:v>31.406860361628851</c:v>
                </c:pt>
                <c:pt idx="4">
                  <c:v>30.5385025152097</c:v>
                </c:pt>
                <c:pt idx="5" formatCode="0.00000">
                  <c:v>32.279723753090401</c:v>
                </c:pt>
                <c:pt idx="6">
                  <c:v>30.268336316495549</c:v>
                </c:pt>
                <c:pt idx="7">
                  <c:v>29.89781420616405</c:v>
                </c:pt>
                <c:pt idx="8" formatCode="0.00000">
                  <c:v>32.589620370669799</c:v>
                </c:pt>
                <c:pt idx="9" formatCode="0.00000">
                  <c:v>36.210504308621097</c:v>
                </c:pt>
                <c:pt idx="10">
                  <c:v>30.810208344688402</c:v>
                </c:pt>
                <c:pt idx="11">
                  <c:v>30.682291330025251</c:v>
                </c:pt>
                <c:pt idx="12" formatCode="0.00000">
                  <c:v>33.811112786294501</c:v>
                </c:pt>
                <c:pt idx="13" formatCode="0.00000">
                  <c:v>31.930897271203602</c:v>
                </c:pt>
                <c:pt idx="14">
                  <c:v>29.639576922984652</c:v>
                </c:pt>
                <c:pt idx="15" formatCode="0.00000">
                  <c:v>27.6379240851332</c:v>
                </c:pt>
                <c:pt idx="16" formatCode="0.00000">
                  <c:v>32.779700574281797</c:v>
                </c:pt>
                <c:pt idx="17" formatCode="0.00000">
                  <c:v>28.507212967009401</c:v>
                </c:pt>
                <c:pt idx="18" formatCode="0.00000">
                  <c:v>27.694671491290901</c:v>
                </c:pt>
                <c:pt idx="19" formatCode="0.00000">
                  <c:v>28.3774878837046</c:v>
                </c:pt>
                <c:pt idx="20" formatCode="0.00000">
                  <c:v>28.080304785192499</c:v>
                </c:pt>
                <c:pt idx="21" formatCode="0.00000">
                  <c:v>27.518822664655598</c:v>
                </c:pt>
                <c:pt idx="22" formatCode="0.00000">
                  <c:v>31.3747502197328</c:v>
                </c:pt>
                <c:pt idx="23" formatCode="0.00000">
                  <c:v>27.0234464516736</c:v>
                </c:pt>
                <c:pt idx="24" formatCode="0.00000">
                  <c:v>29.272755087240999</c:v>
                </c:pt>
                <c:pt idx="25" formatCode="0.00000">
                  <c:v>28.500333620124</c:v>
                </c:pt>
                <c:pt idx="26" formatCode="0.00000">
                  <c:v>28.584488519926101</c:v>
                </c:pt>
                <c:pt idx="27" formatCode="0.00000">
                  <c:v>28.7013924854053</c:v>
                </c:pt>
                <c:pt idx="28" formatCode="0.00000">
                  <c:v>32.325689477711698</c:v>
                </c:pt>
                <c:pt idx="29" formatCode="0.00000">
                  <c:v>28.206339300783</c:v>
                </c:pt>
                <c:pt idx="30" formatCode="0.00000">
                  <c:v>28.4724373008032</c:v>
                </c:pt>
                <c:pt idx="31" formatCode="0.00000">
                  <c:v>29.2816059878846</c:v>
                </c:pt>
                <c:pt idx="32" formatCode="0.00000">
                  <c:v>27.169305145104001</c:v>
                </c:pt>
                <c:pt idx="33" formatCode="0.00000">
                  <c:v>26.3214855135565</c:v>
                </c:pt>
                <c:pt idx="34" formatCode="0.00000">
                  <c:v>27.2968556660906</c:v>
                </c:pt>
                <c:pt idx="35" formatCode="0.00000">
                  <c:v>24.757546458642199</c:v>
                </c:pt>
                <c:pt idx="36" formatCode="0.00000">
                  <c:v>24.073587817238</c:v>
                </c:pt>
              </c:numCache>
            </c:numRef>
          </c:xVal>
          <c:yVal>
            <c:numRef>
              <c:f>'Tex86_0-2cm'!$T$5:$T$41</c:f>
              <c:numCache>
                <c:formatCode>General</c:formatCode>
                <c:ptCount val="37"/>
                <c:pt idx="0">
                  <c:v>29.243704000000001</c:v>
                </c:pt>
                <c:pt idx="1">
                  <c:v>29.235814999999999</c:v>
                </c:pt>
                <c:pt idx="2">
                  <c:v>29.158068</c:v>
                </c:pt>
                <c:pt idx="3">
                  <c:v>29.172394000000001</c:v>
                </c:pt>
                <c:pt idx="4">
                  <c:v>29.017900000000001</c:v>
                </c:pt>
                <c:pt idx="5">
                  <c:v>28.847807</c:v>
                </c:pt>
                <c:pt idx="6">
                  <c:v>28.903597000000001</c:v>
                </c:pt>
                <c:pt idx="7">
                  <c:v>28.922516000000002</c:v>
                </c:pt>
                <c:pt idx="8">
                  <c:v>28.8413</c:v>
                </c:pt>
                <c:pt idx="9">
                  <c:v>28.853646999999999</c:v>
                </c:pt>
                <c:pt idx="10">
                  <c:v>28.520734999999998</c:v>
                </c:pt>
                <c:pt idx="11">
                  <c:v>28.546800000000001</c:v>
                </c:pt>
                <c:pt idx="12">
                  <c:v>28.395085999999999</c:v>
                </c:pt>
                <c:pt idx="13">
                  <c:v>28.444984000000002</c:v>
                </c:pt>
                <c:pt idx="14">
                  <c:v>28.201332000000001</c:v>
                </c:pt>
                <c:pt idx="15">
                  <c:v>28.065935</c:v>
                </c:pt>
                <c:pt idx="16">
                  <c:v>28.027315000000002</c:v>
                </c:pt>
                <c:pt idx="17">
                  <c:v>28.096547999999999</c:v>
                </c:pt>
                <c:pt idx="18">
                  <c:v>27.999480999999999</c:v>
                </c:pt>
                <c:pt idx="19">
                  <c:v>27.819566999999999</c:v>
                </c:pt>
                <c:pt idx="20">
                  <c:v>27.654160999999998</c:v>
                </c:pt>
                <c:pt idx="21">
                  <c:v>26.834534000000001</c:v>
                </c:pt>
                <c:pt idx="22">
                  <c:v>26.871834</c:v>
                </c:pt>
                <c:pt idx="23">
                  <c:v>26.574172999999998</c:v>
                </c:pt>
                <c:pt idx="24">
                  <c:v>25.307784999999999</c:v>
                </c:pt>
                <c:pt idx="25">
                  <c:v>25.291899999999998</c:v>
                </c:pt>
                <c:pt idx="26">
                  <c:v>25.187078</c:v>
                </c:pt>
                <c:pt idx="27">
                  <c:v>24.585049999999999</c:v>
                </c:pt>
                <c:pt idx="28">
                  <c:v>24.805016999999999</c:v>
                </c:pt>
                <c:pt idx="29">
                  <c:v>24.904914999999999</c:v>
                </c:pt>
                <c:pt idx="30">
                  <c:v>24.392088000000001</c:v>
                </c:pt>
                <c:pt idx="31">
                  <c:v>23.599867</c:v>
                </c:pt>
                <c:pt idx="32">
                  <c:v>23.753036000000002</c:v>
                </c:pt>
                <c:pt idx="33">
                  <c:v>23.526700999999999</c:v>
                </c:pt>
                <c:pt idx="34">
                  <c:v>23.558716</c:v>
                </c:pt>
                <c:pt idx="35">
                  <c:v>23.425932</c:v>
                </c:pt>
                <c:pt idx="36">
                  <c:v>23.116952999999999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13-104C-8AB9-2E2D54EA4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892895"/>
        <c:axId val="144883488"/>
      </c:scatterChart>
      <c:valAx>
        <c:axId val="1881892895"/>
        <c:scaling>
          <c:orientation val="minMax"/>
          <c:min val="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3488"/>
        <c:crosses val="autoZero"/>
        <c:crossBetween val="midCat"/>
      </c:valAx>
      <c:valAx>
        <c:axId val="144883488"/>
        <c:scaling>
          <c:orientation val="minMax"/>
          <c:max val="30"/>
          <c:min val="2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89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SST</a:t>
            </a:r>
            <a:r>
              <a:rPr lang="en-US" baseline="0"/>
              <a:t> vs. annual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5109361329833771E-3"/>
                  <c:y val="-8.717446777486147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'Tex86_0-2cm'!$Q$5:$Q$41</c:f>
              <c:numCache>
                <c:formatCode>General</c:formatCode>
                <c:ptCount val="37"/>
                <c:pt idx="0">
                  <c:v>30.681129936742899</c:v>
                </c:pt>
                <c:pt idx="1">
                  <c:v>29.1754358529619</c:v>
                </c:pt>
                <c:pt idx="2">
                  <c:v>31.370809519350701</c:v>
                </c:pt>
                <c:pt idx="3">
                  <c:v>31.406860361628851</c:v>
                </c:pt>
                <c:pt idx="4">
                  <c:v>30.5385025152097</c:v>
                </c:pt>
                <c:pt idx="5" formatCode="0.00000">
                  <c:v>32.279723753090401</c:v>
                </c:pt>
                <c:pt idx="6">
                  <c:v>30.268336316495549</c:v>
                </c:pt>
                <c:pt idx="7">
                  <c:v>29.89781420616405</c:v>
                </c:pt>
                <c:pt idx="8" formatCode="0.00000">
                  <c:v>32.589620370669799</c:v>
                </c:pt>
                <c:pt idx="9" formatCode="0.00000">
                  <c:v>36.210504308621097</c:v>
                </c:pt>
                <c:pt idx="10">
                  <c:v>30.810208344688402</c:v>
                </c:pt>
                <c:pt idx="11">
                  <c:v>30.682291330025251</c:v>
                </c:pt>
                <c:pt idx="12" formatCode="0.00000">
                  <c:v>33.811112786294501</c:v>
                </c:pt>
                <c:pt idx="13" formatCode="0.00000">
                  <c:v>31.930897271203602</c:v>
                </c:pt>
                <c:pt idx="14">
                  <c:v>29.639576922984652</c:v>
                </c:pt>
                <c:pt idx="15" formatCode="0.00000">
                  <c:v>27.6379240851332</c:v>
                </c:pt>
                <c:pt idx="16" formatCode="0.00000">
                  <c:v>32.779700574281797</c:v>
                </c:pt>
                <c:pt idx="17" formatCode="0.00000">
                  <c:v>28.507212967009401</c:v>
                </c:pt>
                <c:pt idx="18" formatCode="0.00000">
                  <c:v>27.694671491290901</c:v>
                </c:pt>
                <c:pt idx="19" formatCode="0.00000">
                  <c:v>28.3774878837046</c:v>
                </c:pt>
                <c:pt idx="20" formatCode="0.00000">
                  <c:v>28.080304785192499</c:v>
                </c:pt>
                <c:pt idx="21" formatCode="0.00000">
                  <c:v>27.518822664655598</c:v>
                </c:pt>
                <c:pt idx="22" formatCode="0.00000">
                  <c:v>31.3747502197328</c:v>
                </c:pt>
                <c:pt idx="23" formatCode="0.00000">
                  <c:v>27.0234464516736</c:v>
                </c:pt>
                <c:pt idx="24" formatCode="0.00000">
                  <c:v>29.272755087240999</c:v>
                </c:pt>
                <c:pt idx="25" formatCode="0.00000">
                  <c:v>28.500333620124</c:v>
                </c:pt>
                <c:pt idx="26" formatCode="0.00000">
                  <c:v>28.584488519926101</c:v>
                </c:pt>
                <c:pt idx="27" formatCode="0.00000">
                  <c:v>28.7013924854053</c:v>
                </c:pt>
                <c:pt idx="28" formatCode="0.00000">
                  <c:v>32.325689477711698</c:v>
                </c:pt>
                <c:pt idx="29" formatCode="0.00000">
                  <c:v>28.206339300783</c:v>
                </c:pt>
                <c:pt idx="30" formatCode="0.00000">
                  <c:v>28.4724373008032</c:v>
                </c:pt>
                <c:pt idx="31" formatCode="0.00000">
                  <c:v>29.2816059878846</c:v>
                </c:pt>
                <c:pt idx="32" formatCode="0.00000">
                  <c:v>27.169305145104001</c:v>
                </c:pt>
                <c:pt idx="33" formatCode="0.00000">
                  <c:v>26.3214855135565</c:v>
                </c:pt>
                <c:pt idx="34" formatCode="0.00000">
                  <c:v>27.2968556660906</c:v>
                </c:pt>
                <c:pt idx="35" formatCode="0.00000">
                  <c:v>24.757546458642199</c:v>
                </c:pt>
                <c:pt idx="36" formatCode="0.00000">
                  <c:v>24.073587817238</c:v>
                </c:pt>
              </c:numCache>
            </c:numRef>
          </c:xVal>
          <c:yVal>
            <c:numRef>
              <c:f>'Tex86_0-2cm'!$S$5:$S$41</c:f>
              <c:numCache>
                <c:formatCode>General</c:formatCode>
                <c:ptCount val="37"/>
                <c:pt idx="0">
                  <c:v>28.225881999999999</c:v>
                </c:pt>
                <c:pt idx="1">
                  <c:v>28.044350000000001</c:v>
                </c:pt>
                <c:pt idx="2">
                  <c:v>27.720236</c:v>
                </c:pt>
                <c:pt idx="3">
                  <c:v>27.527097999999999</c:v>
                </c:pt>
                <c:pt idx="4">
                  <c:v>27.402266999999998</c:v>
                </c:pt>
                <c:pt idx="5">
                  <c:v>27.187714</c:v>
                </c:pt>
                <c:pt idx="6">
                  <c:v>27.09817</c:v>
                </c:pt>
                <c:pt idx="7">
                  <c:v>27.17896</c:v>
                </c:pt>
                <c:pt idx="8">
                  <c:v>27.420598999999999</c:v>
                </c:pt>
                <c:pt idx="9">
                  <c:v>27.302599000000001</c:v>
                </c:pt>
                <c:pt idx="10">
                  <c:v>26.916954</c:v>
                </c:pt>
                <c:pt idx="11">
                  <c:v>26.98049</c:v>
                </c:pt>
                <c:pt idx="12">
                  <c:v>26.578130000000002</c:v>
                </c:pt>
                <c:pt idx="13">
                  <c:v>26.692001000000001</c:v>
                </c:pt>
                <c:pt idx="14">
                  <c:v>26.442345</c:v>
                </c:pt>
                <c:pt idx="15">
                  <c:v>26.027930999999999</c:v>
                </c:pt>
                <c:pt idx="16">
                  <c:v>26.138013999999998</c:v>
                </c:pt>
                <c:pt idx="17">
                  <c:v>26.270775</c:v>
                </c:pt>
                <c:pt idx="18">
                  <c:v>26.157063999999998</c:v>
                </c:pt>
                <c:pt idx="19">
                  <c:v>25.898916</c:v>
                </c:pt>
                <c:pt idx="20">
                  <c:v>25.790619</c:v>
                </c:pt>
                <c:pt idx="21">
                  <c:v>25.078882</c:v>
                </c:pt>
                <c:pt idx="22">
                  <c:v>25.101096999999999</c:v>
                </c:pt>
                <c:pt idx="23">
                  <c:v>24.818114999999999</c:v>
                </c:pt>
                <c:pt idx="24">
                  <c:v>23.888487000000001</c:v>
                </c:pt>
                <c:pt idx="25">
                  <c:v>23.845445999999999</c:v>
                </c:pt>
                <c:pt idx="26">
                  <c:v>23.723130999999999</c:v>
                </c:pt>
                <c:pt idx="27">
                  <c:v>23.041371999999999</c:v>
                </c:pt>
                <c:pt idx="28">
                  <c:v>23.422713999999999</c:v>
                </c:pt>
                <c:pt idx="29">
                  <c:v>23.40541</c:v>
                </c:pt>
                <c:pt idx="30">
                  <c:v>22.897448000000001</c:v>
                </c:pt>
                <c:pt idx="31">
                  <c:v>22.307167</c:v>
                </c:pt>
                <c:pt idx="32">
                  <c:v>22.46808</c:v>
                </c:pt>
                <c:pt idx="33">
                  <c:v>22.253112999999999</c:v>
                </c:pt>
                <c:pt idx="34">
                  <c:v>22.318650000000002</c:v>
                </c:pt>
                <c:pt idx="35">
                  <c:v>22.215532</c:v>
                </c:pt>
                <c:pt idx="36">
                  <c:v>21.861333999999999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2C-854D-ACC4-0BF07E069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892895"/>
        <c:axId val="144883488"/>
      </c:scatterChart>
      <c:valAx>
        <c:axId val="1881892895"/>
        <c:scaling>
          <c:orientation val="minMax"/>
          <c:min val="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3488"/>
        <c:crosses val="autoZero"/>
        <c:crossBetween val="midCat"/>
      </c:valAx>
      <c:valAx>
        <c:axId val="144883488"/>
        <c:scaling>
          <c:orientation val="minMax"/>
          <c:max val="30"/>
          <c:min val="2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89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SST</a:t>
            </a:r>
            <a:r>
              <a:rPr lang="en-US" baseline="0"/>
              <a:t> vs. annual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5109361329833771E-3"/>
                  <c:y val="-8.717446777486147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'Tex86_0-2cm'!$Q$48:$Q$84</c:f>
              <c:numCache>
                <c:formatCode>0.00000</c:formatCode>
                <c:ptCount val="37"/>
                <c:pt idx="0">
                  <c:v>32.1095370334615</c:v>
                </c:pt>
                <c:pt idx="1">
                  <c:v>29.438824302646101</c:v>
                </c:pt>
                <c:pt idx="2">
                  <c:v>33.097611451295698</c:v>
                </c:pt>
                <c:pt idx="3">
                  <c:v>33.331877202399802</c:v>
                </c:pt>
                <c:pt idx="4">
                  <c:v>31.916781988290602</c:v>
                </c:pt>
                <c:pt idx="5">
                  <c:v>32.279723753090401</c:v>
                </c:pt>
                <c:pt idx="6">
                  <c:v>31.150091644516898</c:v>
                </c:pt>
                <c:pt idx="7">
                  <c:v>29.913051241042702</c:v>
                </c:pt>
                <c:pt idx="8">
                  <c:v>32.589620370669799</c:v>
                </c:pt>
                <c:pt idx="9">
                  <c:v>36.210504308621097</c:v>
                </c:pt>
                <c:pt idx="10">
                  <c:v>32.278534803011603</c:v>
                </c:pt>
                <c:pt idx="11">
                  <c:v>31.985343957574401</c:v>
                </c:pt>
                <c:pt idx="12">
                  <c:v>33.811112786294501</c:v>
                </c:pt>
                <c:pt idx="13">
                  <c:v>31.930897271203602</c:v>
                </c:pt>
                <c:pt idx="14">
                  <c:v>30.323875291018201</c:v>
                </c:pt>
                <c:pt idx="15">
                  <c:v>27.6379240851332</c:v>
                </c:pt>
                <c:pt idx="16">
                  <c:v>32.779700574281797</c:v>
                </c:pt>
                <c:pt idx="17">
                  <c:v>28.507212967009401</c:v>
                </c:pt>
                <c:pt idx="18">
                  <c:v>27.694671491290901</c:v>
                </c:pt>
                <c:pt idx="19">
                  <c:v>28.3774878837046</c:v>
                </c:pt>
                <c:pt idx="20">
                  <c:v>28.080304785192499</c:v>
                </c:pt>
                <c:pt idx="21">
                  <c:v>27.518822664655598</c:v>
                </c:pt>
                <c:pt idx="22">
                  <c:v>31.3747502197328</c:v>
                </c:pt>
                <c:pt idx="23">
                  <c:v>27.0234464516736</c:v>
                </c:pt>
                <c:pt idx="24">
                  <c:v>29.272755087240999</c:v>
                </c:pt>
                <c:pt idx="25">
                  <c:v>28.500333620124</c:v>
                </c:pt>
                <c:pt idx="26">
                  <c:v>28.584488519926101</c:v>
                </c:pt>
                <c:pt idx="27">
                  <c:v>28.7013924854053</c:v>
                </c:pt>
                <c:pt idx="28">
                  <c:v>32.325689477711698</c:v>
                </c:pt>
                <c:pt idx="29">
                  <c:v>28.206339300783</c:v>
                </c:pt>
                <c:pt idx="30">
                  <c:v>28.4724373008032</c:v>
                </c:pt>
                <c:pt idx="31">
                  <c:v>29.2816059878846</c:v>
                </c:pt>
                <c:pt idx="32">
                  <c:v>27.169305145104001</c:v>
                </c:pt>
                <c:pt idx="33">
                  <c:v>26.3214855135565</c:v>
                </c:pt>
                <c:pt idx="34">
                  <c:v>27.2968556660906</c:v>
                </c:pt>
                <c:pt idx="35">
                  <c:v>24.757546458642199</c:v>
                </c:pt>
                <c:pt idx="36">
                  <c:v>24.073587817238</c:v>
                </c:pt>
              </c:numCache>
            </c:numRef>
          </c:xVal>
          <c:yVal>
            <c:numRef>
              <c:f>'Tex86_0-2cm'!$S$5:$S$41</c:f>
              <c:numCache>
                <c:formatCode>General</c:formatCode>
                <c:ptCount val="37"/>
                <c:pt idx="0">
                  <c:v>28.225881999999999</c:v>
                </c:pt>
                <c:pt idx="1">
                  <c:v>28.044350000000001</c:v>
                </c:pt>
                <c:pt idx="2">
                  <c:v>27.720236</c:v>
                </c:pt>
                <c:pt idx="3">
                  <c:v>27.527097999999999</c:v>
                </c:pt>
                <c:pt idx="4">
                  <c:v>27.402266999999998</c:v>
                </c:pt>
                <c:pt idx="5">
                  <c:v>27.187714</c:v>
                </c:pt>
                <c:pt idx="6">
                  <c:v>27.09817</c:v>
                </c:pt>
                <c:pt idx="7">
                  <c:v>27.17896</c:v>
                </c:pt>
                <c:pt idx="8">
                  <c:v>27.420598999999999</c:v>
                </c:pt>
                <c:pt idx="9">
                  <c:v>27.302599000000001</c:v>
                </c:pt>
                <c:pt idx="10">
                  <c:v>26.916954</c:v>
                </c:pt>
                <c:pt idx="11">
                  <c:v>26.98049</c:v>
                </c:pt>
                <c:pt idx="12">
                  <c:v>26.578130000000002</c:v>
                </c:pt>
                <c:pt idx="13">
                  <c:v>26.692001000000001</c:v>
                </c:pt>
                <c:pt idx="14">
                  <c:v>26.442345</c:v>
                </c:pt>
                <c:pt idx="15">
                  <c:v>26.027930999999999</c:v>
                </c:pt>
                <c:pt idx="16">
                  <c:v>26.138013999999998</c:v>
                </c:pt>
                <c:pt idx="17">
                  <c:v>26.270775</c:v>
                </c:pt>
                <c:pt idx="18">
                  <c:v>26.157063999999998</c:v>
                </c:pt>
                <c:pt idx="19">
                  <c:v>25.898916</c:v>
                </c:pt>
                <c:pt idx="20">
                  <c:v>25.790619</c:v>
                </c:pt>
                <c:pt idx="21">
                  <c:v>25.078882</c:v>
                </c:pt>
                <c:pt idx="22">
                  <c:v>25.101096999999999</c:v>
                </c:pt>
                <c:pt idx="23">
                  <c:v>24.818114999999999</c:v>
                </c:pt>
                <c:pt idx="24">
                  <c:v>23.888487000000001</c:v>
                </c:pt>
                <c:pt idx="25">
                  <c:v>23.845445999999999</c:v>
                </c:pt>
                <c:pt idx="26">
                  <c:v>23.723130999999999</c:v>
                </c:pt>
                <c:pt idx="27">
                  <c:v>23.041371999999999</c:v>
                </c:pt>
                <c:pt idx="28">
                  <c:v>23.422713999999999</c:v>
                </c:pt>
                <c:pt idx="29">
                  <c:v>23.40541</c:v>
                </c:pt>
                <c:pt idx="30">
                  <c:v>22.897448000000001</c:v>
                </c:pt>
                <c:pt idx="31">
                  <c:v>22.307167</c:v>
                </c:pt>
                <c:pt idx="32">
                  <c:v>22.46808</c:v>
                </c:pt>
                <c:pt idx="33">
                  <c:v>22.253112999999999</c:v>
                </c:pt>
                <c:pt idx="34">
                  <c:v>22.318650000000002</c:v>
                </c:pt>
                <c:pt idx="35">
                  <c:v>22.215532</c:v>
                </c:pt>
                <c:pt idx="36">
                  <c:v>21.861333999999999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17-2045-B566-AB4633FA6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892895"/>
        <c:axId val="144883488"/>
      </c:scatterChart>
      <c:valAx>
        <c:axId val="1881892895"/>
        <c:scaling>
          <c:orientation val="minMax"/>
          <c:min val="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3488"/>
        <c:crosses val="autoZero"/>
        <c:crossBetween val="midCat"/>
      </c:valAx>
      <c:valAx>
        <c:axId val="144883488"/>
        <c:scaling>
          <c:orientation val="minMax"/>
          <c:max val="30"/>
          <c:min val="2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89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SST</a:t>
            </a:r>
            <a:r>
              <a:rPr lang="en-US" baseline="0"/>
              <a:t> vs. JFM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5955380577427817E-2"/>
                  <c:y val="0.13384259259259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'Tex86_0-2cm'!$Q$48:$Q$84</c:f>
              <c:numCache>
                <c:formatCode>0.00000</c:formatCode>
                <c:ptCount val="37"/>
                <c:pt idx="0">
                  <c:v>32.1095370334615</c:v>
                </c:pt>
                <c:pt idx="1">
                  <c:v>29.438824302646101</c:v>
                </c:pt>
                <c:pt idx="2">
                  <c:v>33.097611451295698</c:v>
                </c:pt>
                <c:pt idx="3">
                  <c:v>33.331877202399802</c:v>
                </c:pt>
                <c:pt idx="4">
                  <c:v>31.916781988290602</c:v>
                </c:pt>
                <c:pt idx="5">
                  <c:v>32.279723753090401</c:v>
                </c:pt>
                <c:pt idx="6">
                  <c:v>31.150091644516898</c:v>
                </c:pt>
                <c:pt idx="7">
                  <c:v>29.913051241042702</c:v>
                </c:pt>
                <c:pt idx="8">
                  <c:v>32.589620370669799</c:v>
                </c:pt>
                <c:pt idx="9">
                  <c:v>36.210504308621097</c:v>
                </c:pt>
                <c:pt idx="10">
                  <c:v>32.278534803011603</c:v>
                </c:pt>
                <c:pt idx="11">
                  <c:v>31.985343957574401</c:v>
                </c:pt>
                <c:pt idx="12">
                  <c:v>33.811112786294501</c:v>
                </c:pt>
                <c:pt idx="13">
                  <c:v>31.930897271203602</c:v>
                </c:pt>
                <c:pt idx="14">
                  <c:v>30.323875291018201</c:v>
                </c:pt>
                <c:pt idx="15">
                  <c:v>27.6379240851332</c:v>
                </c:pt>
                <c:pt idx="16">
                  <c:v>32.779700574281797</c:v>
                </c:pt>
                <c:pt idx="17">
                  <c:v>28.507212967009401</c:v>
                </c:pt>
                <c:pt idx="18">
                  <c:v>27.694671491290901</c:v>
                </c:pt>
                <c:pt idx="19">
                  <c:v>28.3774878837046</c:v>
                </c:pt>
                <c:pt idx="20">
                  <c:v>28.080304785192499</c:v>
                </c:pt>
                <c:pt idx="21">
                  <c:v>27.518822664655598</c:v>
                </c:pt>
                <c:pt idx="22">
                  <c:v>31.3747502197328</c:v>
                </c:pt>
                <c:pt idx="23">
                  <c:v>27.0234464516736</c:v>
                </c:pt>
                <c:pt idx="24">
                  <c:v>29.272755087240999</c:v>
                </c:pt>
                <c:pt idx="25">
                  <c:v>28.500333620124</c:v>
                </c:pt>
                <c:pt idx="26">
                  <c:v>28.584488519926101</c:v>
                </c:pt>
                <c:pt idx="27">
                  <c:v>28.7013924854053</c:v>
                </c:pt>
                <c:pt idx="28">
                  <c:v>32.325689477711698</c:v>
                </c:pt>
                <c:pt idx="29">
                  <c:v>28.206339300783</c:v>
                </c:pt>
                <c:pt idx="30">
                  <c:v>28.4724373008032</c:v>
                </c:pt>
                <c:pt idx="31">
                  <c:v>29.2816059878846</c:v>
                </c:pt>
                <c:pt idx="32">
                  <c:v>27.169305145104001</c:v>
                </c:pt>
                <c:pt idx="33">
                  <c:v>26.3214855135565</c:v>
                </c:pt>
                <c:pt idx="34">
                  <c:v>27.2968556660906</c:v>
                </c:pt>
                <c:pt idx="35">
                  <c:v>24.757546458642199</c:v>
                </c:pt>
                <c:pt idx="36">
                  <c:v>24.073587817238</c:v>
                </c:pt>
              </c:numCache>
            </c:numRef>
          </c:xVal>
          <c:yVal>
            <c:numRef>
              <c:f>'Tex86_0-2cm'!$T$5:$T$41</c:f>
              <c:numCache>
                <c:formatCode>General</c:formatCode>
                <c:ptCount val="37"/>
                <c:pt idx="0">
                  <c:v>29.243704000000001</c:v>
                </c:pt>
                <c:pt idx="1">
                  <c:v>29.235814999999999</c:v>
                </c:pt>
                <c:pt idx="2">
                  <c:v>29.158068</c:v>
                </c:pt>
                <c:pt idx="3">
                  <c:v>29.172394000000001</c:v>
                </c:pt>
                <c:pt idx="4">
                  <c:v>29.017900000000001</c:v>
                </c:pt>
                <c:pt idx="5">
                  <c:v>28.847807</c:v>
                </c:pt>
                <c:pt idx="6">
                  <c:v>28.903597000000001</c:v>
                </c:pt>
                <c:pt idx="7">
                  <c:v>28.922516000000002</c:v>
                </c:pt>
                <c:pt idx="8">
                  <c:v>28.8413</c:v>
                </c:pt>
                <c:pt idx="9">
                  <c:v>28.853646999999999</c:v>
                </c:pt>
                <c:pt idx="10">
                  <c:v>28.520734999999998</c:v>
                </c:pt>
                <c:pt idx="11">
                  <c:v>28.546800000000001</c:v>
                </c:pt>
                <c:pt idx="12">
                  <c:v>28.395085999999999</c:v>
                </c:pt>
                <c:pt idx="13">
                  <c:v>28.444984000000002</c:v>
                </c:pt>
                <c:pt idx="14">
                  <c:v>28.201332000000001</c:v>
                </c:pt>
                <c:pt idx="15">
                  <c:v>28.065935</c:v>
                </c:pt>
                <c:pt idx="16">
                  <c:v>28.027315000000002</c:v>
                </c:pt>
                <c:pt idx="17">
                  <c:v>28.096547999999999</c:v>
                </c:pt>
                <c:pt idx="18">
                  <c:v>27.999480999999999</c:v>
                </c:pt>
                <c:pt idx="19">
                  <c:v>27.819566999999999</c:v>
                </c:pt>
                <c:pt idx="20">
                  <c:v>27.654160999999998</c:v>
                </c:pt>
                <c:pt idx="21">
                  <c:v>26.834534000000001</c:v>
                </c:pt>
                <c:pt idx="22">
                  <c:v>26.871834</c:v>
                </c:pt>
                <c:pt idx="23">
                  <c:v>26.574172999999998</c:v>
                </c:pt>
                <c:pt idx="24">
                  <c:v>25.307784999999999</c:v>
                </c:pt>
                <c:pt idx="25">
                  <c:v>25.291899999999998</c:v>
                </c:pt>
                <c:pt idx="26">
                  <c:v>25.187078</c:v>
                </c:pt>
                <c:pt idx="27">
                  <c:v>24.585049999999999</c:v>
                </c:pt>
                <c:pt idx="28">
                  <c:v>24.805016999999999</c:v>
                </c:pt>
                <c:pt idx="29">
                  <c:v>24.904914999999999</c:v>
                </c:pt>
                <c:pt idx="30">
                  <c:v>24.392088000000001</c:v>
                </c:pt>
                <c:pt idx="31">
                  <c:v>23.599867</c:v>
                </c:pt>
                <c:pt idx="32">
                  <c:v>23.753036000000002</c:v>
                </c:pt>
                <c:pt idx="33">
                  <c:v>23.526700999999999</c:v>
                </c:pt>
                <c:pt idx="34">
                  <c:v>23.558716</c:v>
                </c:pt>
                <c:pt idx="35">
                  <c:v>23.425932</c:v>
                </c:pt>
                <c:pt idx="36">
                  <c:v>23.116952999999999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3C-BD48-B530-73CED4939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892895"/>
        <c:axId val="144883488"/>
      </c:scatterChart>
      <c:valAx>
        <c:axId val="1881892895"/>
        <c:scaling>
          <c:orientation val="minMax"/>
          <c:max val="37"/>
          <c:min val="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3488"/>
        <c:crosses val="autoZero"/>
        <c:crossBetween val="midCat"/>
      </c:valAx>
      <c:valAx>
        <c:axId val="144883488"/>
        <c:scaling>
          <c:orientation val="minMax"/>
          <c:max val="30"/>
          <c:min val="2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89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SST</a:t>
            </a:r>
            <a:r>
              <a:rPr lang="en-US" baseline="0"/>
              <a:t> vs. Lat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5955380577427817E-2"/>
                  <c:y val="0.13384259259259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'Tex86_0-2cm'!$Q$5:$Q$41</c:f>
              <c:numCache>
                <c:formatCode>General</c:formatCode>
                <c:ptCount val="37"/>
                <c:pt idx="0">
                  <c:v>30.681129936742899</c:v>
                </c:pt>
                <c:pt idx="1">
                  <c:v>29.1754358529619</c:v>
                </c:pt>
                <c:pt idx="2">
                  <c:v>31.370809519350701</c:v>
                </c:pt>
                <c:pt idx="3">
                  <c:v>31.406860361628851</c:v>
                </c:pt>
                <c:pt idx="4">
                  <c:v>30.5385025152097</c:v>
                </c:pt>
                <c:pt idx="5" formatCode="0.00000">
                  <c:v>32.279723753090401</c:v>
                </c:pt>
                <c:pt idx="6">
                  <c:v>30.268336316495549</c:v>
                </c:pt>
                <c:pt idx="7">
                  <c:v>29.89781420616405</c:v>
                </c:pt>
                <c:pt idx="8" formatCode="0.00000">
                  <c:v>32.589620370669799</c:v>
                </c:pt>
                <c:pt idx="9" formatCode="0.00000">
                  <c:v>36.210504308621097</c:v>
                </c:pt>
                <c:pt idx="10">
                  <c:v>30.810208344688402</c:v>
                </c:pt>
                <c:pt idx="11">
                  <c:v>30.682291330025251</c:v>
                </c:pt>
                <c:pt idx="12" formatCode="0.00000">
                  <c:v>33.811112786294501</c:v>
                </c:pt>
                <c:pt idx="13" formatCode="0.00000">
                  <c:v>31.930897271203602</c:v>
                </c:pt>
                <c:pt idx="14">
                  <c:v>29.639576922984652</c:v>
                </c:pt>
                <c:pt idx="15" formatCode="0.00000">
                  <c:v>27.6379240851332</c:v>
                </c:pt>
                <c:pt idx="16" formatCode="0.00000">
                  <c:v>32.779700574281797</c:v>
                </c:pt>
                <c:pt idx="17" formatCode="0.00000">
                  <c:v>28.507212967009401</c:v>
                </c:pt>
                <c:pt idx="18" formatCode="0.00000">
                  <c:v>27.694671491290901</c:v>
                </c:pt>
                <c:pt idx="19" formatCode="0.00000">
                  <c:v>28.3774878837046</c:v>
                </c:pt>
                <c:pt idx="20" formatCode="0.00000">
                  <c:v>28.080304785192499</c:v>
                </c:pt>
                <c:pt idx="21" formatCode="0.00000">
                  <c:v>27.518822664655598</c:v>
                </c:pt>
                <c:pt idx="22" formatCode="0.00000">
                  <c:v>31.3747502197328</c:v>
                </c:pt>
                <c:pt idx="23" formatCode="0.00000">
                  <c:v>27.0234464516736</c:v>
                </c:pt>
                <c:pt idx="24" formatCode="0.00000">
                  <c:v>29.272755087240999</c:v>
                </c:pt>
                <c:pt idx="25" formatCode="0.00000">
                  <c:v>28.500333620124</c:v>
                </c:pt>
                <c:pt idx="26" formatCode="0.00000">
                  <c:v>28.584488519926101</c:v>
                </c:pt>
                <c:pt idx="27" formatCode="0.00000">
                  <c:v>28.7013924854053</c:v>
                </c:pt>
                <c:pt idx="28" formatCode="0.00000">
                  <c:v>32.325689477711698</c:v>
                </c:pt>
                <c:pt idx="29" formatCode="0.00000">
                  <c:v>28.206339300783</c:v>
                </c:pt>
                <c:pt idx="30" formatCode="0.00000">
                  <c:v>28.4724373008032</c:v>
                </c:pt>
                <c:pt idx="31" formatCode="0.00000">
                  <c:v>29.2816059878846</c:v>
                </c:pt>
                <c:pt idx="32" formatCode="0.00000">
                  <c:v>27.169305145104001</c:v>
                </c:pt>
                <c:pt idx="33" formatCode="0.00000">
                  <c:v>26.3214855135565</c:v>
                </c:pt>
                <c:pt idx="34" formatCode="0.00000">
                  <c:v>27.2968556660906</c:v>
                </c:pt>
                <c:pt idx="35" formatCode="0.00000">
                  <c:v>24.757546458642199</c:v>
                </c:pt>
                <c:pt idx="36" formatCode="0.00000">
                  <c:v>24.073587817238</c:v>
                </c:pt>
              </c:numCache>
            </c:numRef>
          </c:xVal>
          <c:yVal>
            <c:numRef>
              <c:f>'Tex86_0-2cm'!$C$5:$C$41</c:f>
              <c:numCache>
                <c:formatCode>General</c:formatCode>
                <c:ptCount val="37"/>
                <c:pt idx="0">
                  <c:v>-15.055149999999999</c:v>
                </c:pt>
                <c:pt idx="1">
                  <c:v>-15.961550000000001</c:v>
                </c:pt>
                <c:pt idx="2">
                  <c:v>-16.859529999999999</c:v>
                </c:pt>
                <c:pt idx="3">
                  <c:v>-17.591550000000002</c:v>
                </c:pt>
                <c:pt idx="4">
                  <c:v>-17.67595</c:v>
                </c:pt>
                <c:pt idx="5">
                  <c:v>-18.116350000000001</c:v>
                </c:pt>
                <c:pt idx="6">
                  <c:v>-18.53323</c:v>
                </c:pt>
                <c:pt idx="7">
                  <c:v>-18.350850000000001</c:v>
                </c:pt>
                <c:pt idx="8">
                  <c:v>-17.1036</c:v>
                </c:pt>
                <c:pt idx="9">
                  <c:v>-17.54862</c:v>
                </c:pt>
                <c:pt idx="10">
                  <c:v>-18.399229999999999</c:v>
                </c:pt>
                <c:pt idx="11">
                  <c:v>-18.083320000000001</c:v>
                </c:pt>
                <c:pt idx="12">
                  <c:v>-19.30397</c:v>
                </c:pt>
                <c:pt idx="13">
                  <c:v>-19.242529999999999</c:v>
                </c:pt>
                <c:pt idx="14">
                  <c:v>-19.416679999999999</c:v>
                </c:pt>
                <c:pt idx="15">
                  <c:v>-20.500679999999999</c:v>
                </c:pt>
                <c:pt idx="16">
                  <c:v>-20.013950000000001</c:v>
                </c:pt>
                <c:pt idx="17">
                  <c:v>-19.645119999999999</c:v>
                </c:pt>
                <c:pt idx="18">
                  <c:v>-19.520579999999999</c:v>
                </c:pt>
                <c:pt idx="19">
                  <c:v>-20.610029999999998</c:v>
                </c:pt>
                <c:pt idx="20">
                  <c:v>-20.991119999999999</c:v>
                </c:pt>
                <c:pt idx="21">
                  <c:v>-22.111419999999999</c:v>
                </c:pt>
                <c:pt idx="22">
                  <c:v>-22.07827</c:v>
                </c:pt>
                <c:pt idx="23">
                  <c:v>-22.620719999999999</c:v>
                </c:pt>
                <c:pt idx="24">
                  <c:v>-24.231549999999999</c:v>
                </c:pt>
                <c:pt idx="25">
                  <c:v>-24.231529999999999</c:v>
                </c:pt>
                <c:pt idx="26">
                  <c:v>-24.139849999999999</c:v>
                </c:pt>
                <c:pt idx="27">
                  <c:v>-25.37097</c:v>
                </c:pt>
                <c:pt idx="28">
                  <c:v>-25.10155</c:v>
                </c:pt>
                <c:pt idx="29">
                  <c:v>-24.568930000000002</c:v>
                </c:pt>
                <c:pt idx="30">
                  <c:v>-25.898330000000001</c:v>
                </c:pt>
                <c:pt idx="31">
                  <c:v>-27.769770000000001</c:v>
                </c:pt>
                <c:pt idx="32">
                  <c:v>-27.255420000000001</c:v>
                </c:pt>
                <c:pt idx="33">
                  <c:v>-28.1418</c:v>
                </c:pt>
                <c:pt idx="34">
                  <c:v>-28.12893</c:v>
                </c:pt>
                <c:pt idx="35">
                  <c:v>-28.384730000000001</c:v>
                </c:pt>
                <c:pt idx="36">
                  <c:v>-28.967880000000001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3B-BB49-9580-BF7860050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892895"/>
        <c:axId val="144883488"/>
      </c:scatterChart>
      <c:valAx>
        <c:axId val="1881892895"/>
        <c:scaling>
          <c:orientation val="minMax"/>
          <c:min val="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3488"/>
        <c:crosses val="autoZero"/>
        <c:crossBetween val="midCat"/>
      </c:valAx>
      <c:valAx>
        <c:axId val="144883488"/>
        <c:scaling>
          <c:orientation val="minMax"/>
          <c:max val="-14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89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SST</a:t>
            </a:r>
            <a:r>
              <a:rPr lang="en-US" baseline="0"/>
              <a:t> vs. Depth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5955380577427817E-2"/>
                  <c:y val="0.13384259259259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'Tex86_0-2cm'!$Q$5:$Q$41</c:f>
              <c:numCache>
                <c:formatCode>General</c:formatCode>
                <c:ptCount val="37"/>
                <c:pt idx="0">
                  <c:v>30.681129936742899</c:v>
                </c:pt>
                <c:pt idx="1">
                  <c:v>29.1754358529619</c:v>
                </c:pt>
                <c:pt idx="2">
                  <c:v>31.370809519350701</c:v>
                </c:pt>
                <c:pt idx="3">
                  <c:v>31.406860361628851</c:v>
                </c:pt>
                <c:pt idx="4">
                  <c:v>30.5385025152097</c:v>
                </c:pt>
                <c:pt idx="5" formatCode="0.00000">
                  <c:v>32.279723753090401</c:v>
                </c:pt>
                <c:pt idx="6">
                  <c:v>30.268336316495549</c:v>
                </c:pt>
                <c:pt idx="7">
                  <c:v>29.89781420616405</c:v>
                </c:pt>
                <c:pt idx="8" formatCode="0.00000">
                  <c:v>32.589620370669799</c:v>
                </c:pt>
                <c:pt idx="9" formatCode="0.00000">
                  <c:v>36.210504308621097</c:v>
                </c:pt>
                <c:pt idx="10">
                  <c:v>30.810208344688402</c:v>
                </c:pt>
                <c:pt idx="11">
                  <c:v>30.682291330025251</c:v>
                </c:pt>
                <c:pt idx="12" formatCode="0.00000">
                  <c:v>33.811112786294501</c:v>
                </c:pt>
                <c:pt idx="13" formatCode="0.00000">
                  <c:v>31.930897271203602</c:v>
                </c:pt>
                <c:pt idx="14">
                  <c:v>29.639576922984652</c:v>
                </c:pt>
                <c:pt idx="15" formatCode="0.00000">
                  <c:v>27.6379240851332</c:v>
                </c:pt>
                <c:pt idx="16" formatCode="0.00000">
                  <c:v>32.779700574281797</c:v>
                </c:pt>
                <c:pt idx="17" formatCode="0.00000">
                  <c:v>28.507212967009401</c:v>
                </c:pt>
                <c:pt idx="18" formatCode="0.00000">
                  <c:v>27.694671491290901</c:v>
                </c:pt>
                <c:pt idx="19" formatCode="0.00000">
                  <c:v>28.3774878837046</c:v>
                </c:pt>
                <c:pt idx="20" formatCode="0.00000">
                  <c:v>28.080304785192499</c:v>
                </c:pt>
                <c:pt idx="21" formatCode="0.00000">
                  <c:v>27.518822664655598</c:v>
                </c:pt>
                <c:pt idx="22" formatCode="0.00000">
                  <c:v>31.3747502197328</c:v>
                </c:pt>
                <c:pt idx="23" formatCode="0.00000">
                  <c:v>27.0234464516736</c:v>
                </c:pt>
                <c:pt idx="24" formatCode="0.00000">
                  <c:v>29.272755087240999</c:v>
                </c:pt>
                <c:pt idx="25" formatCode="0.00000">
                  <c:v>28.500333620124</c:v>
                </c:pt>
                <c:pt idx="26" formatCode="0.00000">
                  <c:v>28.584488519926101</c:v>
                </c:pt>
                <c:pt idx="27" formatCode="0.00000">
                  <c:v>28.7013924854053</c:v>
                </c:pt>
                <c:pt idx="28" formatCode="0.00000">
                  <c:v>32.325689477711698</c:v>
                </c:pt>
                <c:pt idx="29" formatCode="0.00000">
                  <c:v>28.206339300783</c:v>
                </c:pt>
                <c:pt idx="30" formatCode="0.00000">
                  <c:v>28.4724373008032</c:v>
                </c:pt>
                <c:pt idx="31" formatCode="0.00000">
                  <c:v>29.2816059878846</c:v>
                </c:pt>
                <c:pt idx="32" formatCode="0.00000">
                  <c:v>27.169305145104001</c:v>
                </c:pt>
                <c:pt idx="33" formatCode="0.00000">
                  <c:v>26.3214855135565</c:v>
                </c:pt>
                <c:pt idx="34" formatCode="0.00000">
                  <c:v>27.2968556660906</c:v>
                </c:pt>
                <c:pt idx="35" formatCode="0.00000">
                  <c:v>24.757546458642199</c:v>
                </c:pt>
                <c:pt idx="36" formatCode="0.00000">
                  <c:v>24.073587817238</c:v>
                </c:pt>
              </c:numCache>
            </c:numRef>
          </c:xVal>
          <c:yVal>
            <c:numRef>
              <c:f>'Tex86_0-2cm'!$B$5:$B$41</c:f>
              <c:numCache>
                <c:formatCode>General</c:formatCode>
                <c:ptCount val="37"/>
                <c:pt idx="0">
                  <c:v>1460.5</c:v>
                </c:pt>
                <c:pt idx="1">
                  <c:v>1628.5</c:v>
                </c:pt>
                <c:pt idx="2">
                  <c:v>1388</c:v>
                </c:pt>
                <c:pt idx="3">
                  <c:v>668.8</c:v>
                </c:pt>
                <c:pt idx="4">
                  <c:v>1951.3</c:v>
                </c:pt>
                <c:pt idx="5">
                  <c:v>1619.7</c:v>
                </c:pt>
                <c:pt idx="6">
                  <c:v>497.9</c:v>
                </c:pt>
                <c:pt idx="7">
                  <c:v>1113.7</c:v>
                </c:pt>
                <c:pt idx="8">
                  <c:v>1843.6</c:v>
                </c:pt>
                <c:pt idx="9">
                  <c:v>2405.9</c:v>
                </c:pt>
                <c:pt idx="10">
                  <c:v>1755.4</c:v>
                </c:pt>
                <c:pt idx="11">
                  <c:v>1976.5</c:v>
                </c:pt>
                <c:pt idx="12">
                  <c:v>868.8</c:v>
                </c:pt>
                <c:pt idx="13">
                  <c:v>1185</c:v>
                </c:pt>
                <c:pt idx="14">
                  <c:v>1298.8</c:v>
                </c:pt>
                <c:pt idx="15">
                  <c:v>349.7</c:v>
                </c:pt>
                <c:pt idx="16">
                  <c:v>1253.9000000000001</c:v>
                </c:pt>
                <c:pt idx="17">
                  <c:v>1133.5</c:v>
                </c:pt>
                <c:pt idx="18">
                  <c:v>1131</c:v>
                </c:pt>
                <c:pt idx="19">
                  <c:v>1100</c:v>
                </c:pt>
                <c:pt idx="20">
                  <c:v>1182.4000000000001</c:v>
                </c:pt>
                <c:pt idx="21">
                  <c:v>1049.3</c:v>
                </c:pt>
                <c:pt idx="22">
                  <c:v>1327.9</c:v>
                </c:pt>
                <c:pt idx="23">
                  <c:v>1250.5</c:v>
                </c:pt>
                <c:pt idx="24">
                  <c:v>504.5</c:v>
                </c:pt>
                <c:pt idx="25">
                  <c:v>1032</c:v>
                </c:pt>
                <c:pt idx="26">
                  <c:v>1725.9</c:v>
                </c:pt>
                <c:pt idx="27">
                  <c:v>1678.9</c:v>
                </c:pt>
                <c:pt idx="28">
                  <c:v>715.1</c:v>
                </c:pt>
                <c:pt idx="29">
                  <c:v>1369.1</c:v>
                </c:pt>
                <c:pt idx="30">
                  <c:v>1571.5</c:v>
                </c:pt>
                <c:pt idx="31">
                  <c:v>1121.0999999999999</c:v>
                </c:pt>
                <c:pt idx="32">
                  <c:v>1182.7</c:v>
                </c:pt>
                <c:pt idx="33">
                  <c:v>1014.6</c:v>
                </c:pt>
                <c:pt idx="34">
                  <c:v>797.8</c:v>
                </c:pt>
                <c:pt idx="35">
                  <c:v>810.2</c:v>
                </c:pt>
                <c:pt idx="36">
                  <c:v>2485.8000000000002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8-D74C-A904-7DC38F58B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892895"/>
        <c:axId val="144883488"/>
      </c:scatterChart>
      <c:valAx>
        <c:axId val="1881892895"/>
        <c:scaling>
          <c:orientation val="minMax"/>
          <c:min val="2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3488"/>
        <c:crosses val="autoZero"/>
        <c:crossBetween val="midCat"/>
      </c:valAx>
      <c:valAx>
        <c:axId val="144883488"/>
        <c:scaling>
          <c:orientation val="maxMin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89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SST</a:t>
            </a:r>
            <a:r>
              <a:rPr lang="en-US" baseline="0"/>
              <a:t> vs. Lat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5955380577427817E-2"/>
                  <c:y val="0.13384259259259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'Tex86_0-2cm'!$Q$48:$Q$84</c:f>
              <c:numCache>
                <c:formatCode>0.00000</c:formatCode>
                <c:ptCount val="37"/>
                <c:pt idx="0">
                  <c:v>32.1095370334615</c:v>
                </c:pt>
                <c:pt idx="1">
                  <c:v>29.438824302646101</c:v>
                </c:pt>
                <c:pt idx="2">
                  <c:v>33.097611451295698</c:v>
                </c:pt>
                <c:pt idx="3">
                  <c:v>33.331877202399802</c:v>
                </c:pt>
                <c:pt idx="4">
                  <c:v>31.916781988290602</c:v>
                </c:pt>
                <c:pt idx="5">
                  <c:v>32.279723753090401</c:v>
                </c:pt>
                <c:pt idx="6">
                  <c:v>31.150091644516898</c:v>
                </c:pt>
                <c:pt idx="7">
                  <c:v>29.913051241042702</c:v>
                </c:pt>
                <c:pt idx="8">
                  <c:v>32.589620370669799</c:v>
                </c:pt>
                <c:pt idx="9">
                  <c:v>36.210504308621097</c:v>
                </c:pt>
                <c:pt idx="10">
                  <c:v>32.278534803011603</c:v>
                </c:pt>
                <c:pt idx="11">
                  <c:v>31.985343957574401</c:v>
                </c:pt>
                <c:pt idx="12">
                  <c:v>33.811112786294501</c:v>
                </c:pt>
                <c:pt idx="13">
                  <c:v>31.930897271203602</c:v>
                </c:pt>
                <c:pt idx="14">
                  <c:v>30.323875291018201</c:v>
                </c:pt>
                <c:pt idx="15">
                  <c:v>27.6379240851332</c:v>
                </c:pt>
                <c:pt idx="16">
                  <c:v>32.779700574281797</c:v>
                </c:pt>
                <c:pt idx="17">
                  <c:v>28.507212967009401</c:v>
                </c:pt>
                <c:pt idx="18">
                  <c:v>27.694671491290901</c:v>
                </c:pt>
                <c:pt idx="19">
                  <c:v>28.3774878837046</c:v>
                </c:pt>
                <c:pt idx="20">
                  <c:v>28.080304785192499</c:v>
                </c:pt>
                <c:pt idx="21">
                  <c:v>27.518822664655598</c:v>
                </c:pt>
                <c:pt idx="22">
                  <c:v>31.3747502197328</c:v>
                </c:pt>
                <c:pt idx="23">
                  <c:v>27.0234464516736</c:v>
                </c:pt>
                <c:pt idx="24">
                  <c:v>29.272755087240999</c:v>
                </c:pt>
                <c:pt idx="25">
                  <c:v>28.500333620124</c:v>
                </c:pt>
                <c:pt idx="26">
                  <c:v>28.584488519926101</c:v>
                </c:pt>
                <c:pt idx="27">
                  <c:v>28.7013924854053</c:v>
                </c:pt>
                <c:pt idx="28">
                  <c:v>32.325689477711698</c:v>
                </c:pt>
                <c:pt idx="29">
                  <c:v>28.206339300783</c:v>
                </c:pt>
                <c:pt idx="30">
                  <c:v>28.4724373008032</c:v>
                </c:pt>
                <c:pt idx="31">
                  <c:v>29.2816059878846</c:v>
                </c:pt>
                <c:pt idx="32">
                  <c:v>27.169305145104001</c:v>
                </c:pt>
                <c:pt idx="33">
                  <c:v>26.3214855135565</c:v>
                </c:pt>
                <c:pt idx="34">
                  <c:v>27.2968556660906</c:v>
                </c:pt>
                <c:pt idx="35">
                  <c:v>24.757546458642199</c:v>
                </c:pt>
                <c:pt idx="36">
                  <c:v>24.073587817238</c:v>
                </c:pt>
              </c:numCache>
            </c:numRef>
          </c:xVal>
          <c:yVal>
            <c:numRef>
              <c:f>'Tex86_0-2cm'!$C$5:$C$41</c:f>
              <c:numCache>
                <c:formatCode>General</c:formatCode>
                <c:ptCount val="37"/>
                <c:pt idx="0">
                  <c:v>-15.055149999999999</c:v>
                </c:pt>
                <c:pt idx="1">
                  <c:v>-15.961550000000001</c:v>
                </c:pt>
                <c:pt idx="2">
                  <c:v>-16.859529999999999</c:v>
                </c:pt>
                <c:pt idx="3">
                  <c:v>-17.591550000000002</c:v>
                </c:pt>
                <c:pt idx="4">
                  <c:v>-17.67595</c:v>
                </c:pt>
                <c:pt idx="5">
                  <c:v>-18.116350000000001</c:v>
                </c:pt>
                <c:pt idx="6">
                  <c:v>-18.53323</c:v>
                </c:pt>
                <c:pt idx="7">
                  <c:v>-18.350850000000001</c:v>
                </c:pt>
                <c:pt idx="8">
                  <c:v>-17.1036</c:v>
                </c:pt>
                <c:pt idx="9">
                  <c:v>-17.54862</c:v>
                </c:pt>
                <c:pt idx="10">
                  <c:v>-18.399229999999999</c:v>
                </c:pt>
                <c:pt idx="11">
                  <c:v>-18.083320000000001</c:v>
                </c:pt>
                <c:pt idx="12">
                  <c:v>-19.30397</c:v>
                </c:pt>
                <c:pt idx="13">
                  <c:v>-19.242529999999999</c:v>
                </c:pt>
                <c:pt idx="14">
                  <c:v>-19.416679999999999</c:v>
                </c:pt>
                <c:pt idx="15">
                  <c:v>-20.500679999999999</c:v>
                </c:pt>
                <c:pt idx="16">
                  <c:v>-20.013950000000001</c:v>
                </c:pt>
                <c:pt idx="17">
                  <c:v>-19.645119999999999</c:v>
                </c:pt>
                <c:pt idx="18">
                  <c:v>-19.520579999999999</c:v>
                </c:pt>
                <c:pt idx="19">
                  <c:v>-20.610029999999998</c:v>
                </c:pt>
                <c:pt idx="20">
                  <c:v>-20.991119999999999</c:v>
                </c:pt>
                <c:pt idx="21">
                  <c:v>-22.111419999999999</c:v>
                </c:pt>
                <c:pt idx="22">
                  <c:v>-22.07827</c:v>
                </c:pt>
                <c:pt idx="23">
                  <c:v>-22.620719999999999</c:v>
                </c:pt>
                <c:pt idx="24">
                  <c:v>-24.231549999999999</c:v>
                </c:pt>
                <c:pt idx="25">
                  <c:v>-24.231529999999999</c:v>
                </c:pt>
                <c:pt idx="26">
                  <c:v>-24.139849999999999</c:v>
                </c:pt>
                <c:pt idx="27">
                  <c:v>-25.37097</c:v>
                </c:pt>
                <c:pt idx="28">
                  <c:v>-25.10155</c:v>
                </c:pt>
                <c:pt idx="29">
                  <c:v>-24.568930000000002</c:v>
                </c:pt>
                <c:pt idx="30">
                  <c:v>-25.898330000000001</c:v>
                </c:pt>
                <c:pt idx="31">
                  <c:v>-27.769770000000001</c:v>
                </c:pt>
                <c:pt idx="32">
                  <c:v>-27.255420000000001</c:v>
                </c:pt>
                <c:pt idx="33">
                  <c:v>-28.1418</c:v>
                </c:pt>
                <c:pt idx="34">
                  <c:v>-28.12893</c:v>
                </c:pt>
                <c:pt idx="35">
                  <c:v>-28.384730000000001</c:v>
                </c:pt>
                <c:pt idx="36">
                  <c:v>-28.967880000000001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98-1A49-9E85-B1F497BAC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892895"/>
        <c:axId val="144883488"/>
      </c:scatterChart>
      <c:valAx>
        <c:axId val="1881892895"/>
        <c:scaling>
          <c:orientation val="minMax"/>
          <c:min val="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3488"/>
        <c:crosses val="autoZero"/>
        <c:crossBetween val="midCat"/>
      </c:valAx>
      <c:valAx>
        <c:axId val="144883488"/>
        <c:scaling>
          <c:orientation val="minMax"/>
          <c:max val="-14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89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SST</a:t>
            </a:r>
            <a:r>
              <a:rPr lang="en-US" baseline="0"/>
              <a:t> vs. Water depth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5955380577427817E-2"/>
                  <c:y val="0.13384259259259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'Tex86_0-2cm'!$Q$48:$Q$84</c:f>
              <c:numCache>
                <c:formatCode>0.00000</c:formatCode>
                <c:ptCount val="37"/>
                <c:pt idx="0">
                  <c:v>32.1095370334615</c:v>
                </c:pt>
                <c:pt idx="1">
                  <c:v>29.438824302646101</c:v>
                </c:pt>
                <c:pt idx="2">
                  <c:v>33.097611451295698</c:v>
                </c:pt>
                <c:pt idx="3">
                  <c:v>33.331877202399802</c:v>
                </c:pt>
                <c:pt idx="4">
                  <c:v>31.916781988290602</c:v>
                </c:pt>
                <c:pt idx="5">
                  <c:v>32.279723753090401</c:v>
                </c:pt>
                <c:pt idx="6">
                  <c:v>31.150091644516898</c:v>
                </c:pt>
                <c:pt idx="7">
                  <c:v>29.913051241042702</c:v>
                </c:pt>
                <c:pt idx="8">
                  <c:v>32.589620370669799</c:v>
                </c:pt>
                <c:pt idx="9">
                  <c:v>36.210504308621097</c:v>
                </c:pt>
                <c:pt idx="10">
                  <c:v>32.278534803011603</c:v>
                </c:pt>
                <c:pt idx="11">
                  <c:v>31.985343957574401</c:v>
                </c:pt>
                <c:pt idx="12">
                  <c:v>33.811112786294501</c:v>
                </c:pt>
                <c:pt idx="13">
                  <c:v>31.930897271203602</c:v>
                </c:pt>
                <c:pt idx="14">
                  <c:v>30.323875291018201</c:v>
                </c:pt>
                <c:pt idx="15">
                  <c:v>27.6379240851332</c:v>
                </c:pt>
                <c:pt idx="16">
                  <c:v>32.779700574281797</c:v>
                </c:pt>
                <c:pt idx="17">
                  <c:v>28.507212967009401</c:v>
                </c:pt>
                <c:pt idx="18">
                  <c:v>27.694671491290901</c:v>
                </c:pt>
                <c:pt idx="19">
                  <c:v>28.3774878837046</c:v>
                </c:pt>
                <c:pt idx="20">
                  <c:v>28.080304785192499</c:v>
                </c:pt>
                <c:pt idx="21">
                  <c:v>27.518822664655598</c:v>
                </c:pt>
                <c:pt idx="22">
                  <c:v>31.3747502197328</c:v>
                </c:pt>
                <c:pt idx="23">
                  <c:v>27.0234464516736</c:v>
                </c:pt>
                <c:pt idx="24">
                  <c:v>29.272755087240999</c:v>
                </c:pt>
                <c:pt idx="25">
                  <c:v>28.500333620124</c:v>
                </c:pt>
                <c:pt idx="26">
                  <c:v>28.584488519926101</c:v>
                </c:pt>
                <c:pt idx="27">
                  <c:v>28.7013924854053</c:v>
                </c:pt>
                <c:pt idx="28">
                  <c:v>32.325689477711698</c:v>
                </c:pt>
                <c:pt idx="29">
                  <c:v>28.206339300783</c:v>
                </c:pt>
                <c:pt idx="30">
                  <c:v>28.4724373008032</c:v>
                </c:pt>
                <c:pt idx="31">
                  <c:v>29.2816059878846</c:v>
                </c:pt>
                <c:pt idx="32">
                  <c:v>27.169305145104001</c:v>
                </c:pt>
                <c:pt idx="33">
                  <c:v>26.3214855135565</c:v>
                </c:pt>
                <c:pt idx="34">
                  <c:v>27.2968556660906</c:v>
                </c:pt>
                <c:pt idx="35">
                  <c:v>24.757546458642199</c:v>
                </c:pt>
                <c:pt idx="36">
                  <c:v>24.073587817238</c:v>
                </c:pt>
              </c:numCache>
            </c:numRef>
          </c:xVal>
          <c:yVal>
            <c:numRef>
              <c:f>'Tex86_0-2cm'!$B$5:$B$41</c:f>
              <c:numCache>
                <c:formatCode>General</c:formatCode>
                <c:ptCount val="37"/>
                <c:pt idx="0">
                  <c:v>1460.5</c:v>
                </c:pt>
                <c:pt idx="1">
                  <c:v>1628.5</c:v>
                </c:pt>
                <c:pt idx="2">
                  <c:v>1388</c:v>
                </c:pt>
                <c:pt idx="3">
                  <c:v>668.8</c:v>
                </c:pt>
                <c:pt idx="4">
                  <c:v>1951.3</c:v>
                </c:pt>
                <c:pt idx="5">
                  <c:v>1619.7</c:v>
                </c:pt>
                <c:pt idx="6">
                  <c:v>497.9</c:v>
                </c:pt>
                <c:pt idx="7">
                  <c:v>1113.7</c:v>
                </c:pt>
                <c:pt idx="8">
                  <c:v>1843.6</c:v>
                </c:pt>
                <c:pt idx="9">
                  <c:v>2405.9</c:v>
                </c:pt>
                <c:pt idx="10">
                  <c:v>1755.4</c:v>
                </c:pt>
                <c:pt idx="11">
                  <c:v>1976.5</c:v>
                </c:pt>
                <c:pt idx="12">
                  <c:v>868.8</c:v>
                </c:pt>
                <c:pt idx="13">
                  <c:v>1185</c:v>
                </c:pt>
                <c:pt idx="14">
                  <c:v>1298.8</c:v>
                </c:pt>
                <c:pt idx="15">
                  <c:v>349.7</c:v>
                </c:pt>
                <c:pt idx="16">
                  <c:v>1253.9000000000001</c:v>
                </c:pt>
                <c:pt idx="17">
                  <c:v>1133.5</c:v>
                </c:pt>
                <c:pt idx="18">
                  <c:v>1131</c:v>
                </c:pt>
                <c:pt idx="19">
                  <c:v>1100</c:v>
                </c:pt>
                <c:pt idx="20">
                  <c:v>1182.4000000000001</c:v>
                </c:pt>
                <c:pt idx="21">
                  <c:v>1049.3</c:v>
                </c:pt>
                <c:pt idx="22">
                  <c:v>1327.9</c:v>
                </c:pt>
                <c:pt idx="23">
                  <c:v>1250.5</c:v>
                </c:pt>
                <c:pt idx="24">
                  <c:v>504.5</c:v>
                </c:pt>
                <c:pt idx="25">
                  <c:v>1032</c:v>
                </c:pt>
                <c:pt idx="26">
                  <c:v>1725.9</c:v>
                </c:pt>
                <c:pt idx="27">
                  <c:v>1678.9</c:v>
                </c:pt>
                <c:pt idx="28">
                  <c:v>715.1</c:v>
                </c:pt>
                <c:pt idx="29">
                  <c:v>1369.1</c:v>
                </c:pt>
                <c:pt idx="30">
                  <c:v>1571.5</c:v>
                </c:pt>
                <c:pt idx="31">
                  <c:v>1121.0999999999999</c:v>
                </c:pt>
                <c:pt idx="32">
                  <c:v>1182.7</c:v>
                </c:pt>
                <c:pt idx="33">
                  <c:v>1014.6</c:v>
                </c:pt>
                <c:pt idx="34">
                  <c:v>797.8</c:v>
                </c:pt>
                <c:pt idx="35">
                  <c:v>810.2</c:v>
                </c:pt>
                <c:pt idx="36">
                  <c:v>2485.8000000000002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75-C74E-8FE6-057C72698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892895"/>
        <c:axId val="144883488"/>
      </c:scatterChart>
      <c:valAx>
        <c:axId val="1881892895"/>
        <c:scaling>
          <c:orientation val="minMax"/>
          <c:min val="2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3488"/>
        <c:crosses val="autoZero"/>
        <c:crossBetween val="midCat"/>
      </c:valAx>
      <c:valAx>
        <c:axId val="144883488"/>
        <c:scaling>
          <c:orientation val="maxMin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89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Depth-intergrated nitrate</a:t>
            </a:r>
            <a:r>
              <a:rPr lang="en-US" baseline="0"/>
              <a:t> vs. T residual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1029083402378906E-3"/>
                  <c:y val="-0.132951886576871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'Tex86_0-2cm'!$AN$5:$AN$41</c:f>
              <c:numCache>
                <c:formatCode>General</c:formatCode>
                <c:ptCount val="37"/>
                <c:pt idx="0">
                  <c:v>2.7273461818695068</c:v>
                </c:pt>
                <c:pt idx="1">
                  <c:v>5.1361709833145142E-2</c:v>
                </c:pt>
                <c:pt idx="2">
                  <c:v>2.5489287376403809</c:v>
                </c:pt>
                <c:pt idx="3">
                  <c:v>3.9045472145080571</c:v>
                </c:pt>
                <c:pt idx="4">
                  <c:v>3.655184268951416</c:v>
                </c:pt>
                <c:pt idx="5">
                  <c:v>3.3688888549804692</c:v>
                </c:pt>
                <c:pt idx="6">
                  <c:v>3.397833108901978</c:v>
                </c:pt>
                <c:pt idx="7">
                  <c:v>3.4231243133544922</c:v>
                </c:pt>
                <c:pt idx="8">
                  <c:v>2.3372893333435059</c:v>
                </c:pt>
                <c:pt idx="9">
                  <c:v>3.512549877166748</c:v>
                </c:pt>
                <c:pt idx="10">
                  <c:v>2.3417826741933818E-3</c:v>
                </c:pt>
                <c:pt idx="11">
                  <c:v>6.3010095618665218E-3</c:v>
                </c:pt>
                <c:pt idx="12">
                  <c:v>5.9422550201416016</c:v>
                </c:pt>
                <c:pt idx="13">
                  <c:v>6.0392928123474121</c:v>
                </c:pt>
                <c:pt idx="14">
                  <c:v>3.518355131149292</c:v>
                </c:pt>
                <c:pt idx="15">
                  <c:v>2.799991145730019E-2</c:v>
                </c:pt>
                <c:pt idx="16">
                  <c:v>4.8196990974247464E-3</c:v>
                </c:pt>
                <c:pt idx="17">
                  <c:v>3.5081834066659212E-3</c:v>
                </c:pt>
                <c:pt idx="18">
                  <c:v>3.67910391651094E-3</c:v>
                </c:pt>
                <c:pt idx="19">
                  <c:v>3.4706280566751961E-3</c:v>
                </c:pt>
                <c:pt idx="20">
                  <c:v>3.8960967212915421E-3</c:v>
                </c:pt>
                <c:pt idx="21">
                  <c:v>2.5712044239044189</c:v>
                </c:pt>
                <c:pt idx="22">
                  <c:v>2.3894815444946289</c:v>
                </c:pt>
                <c:pt idx="23">
                  <c:v>2.1284298896789551</c:v>
                </c:pt>
                <c:pt idx="24">
                  <c:v>1.2752348184585569</c:v>
                </c:pt>
                <c:pt idx="25">
                  <c:v>4.5053092762827873E-3</c:v>
                </c:pt>
                <c:pt idx="26">
                  <c:v>2.838126383721828E-3</c:v>
                </c:pt>
                <c:pt idx="27">
                  <c:v>2.3379041813313961E-3</c:v>
                </c:pt>
                <c:pt idx="28">
                  <c:v>1.8975750207901001</c:v>
                </c:pt>
                <c:pt idx="29">
                  <c:v>2.6941185351461172E-3</c:v>
                </c:pt>
                <c:pt idx="30">
                  <c:v>4.2466414161026478E-3</c:v>
                </c:pt>
                <c:pt idx="31">
                  <c:v>1.7514603137969971</c:v>
                </c:pt>
                <c:pt idx="32">
                  <c:v>1.4745656251907351</c:v>
                </c:pt>
                <c:pt idx="33">
                  <c:v>1.634913325309753</c:v>
                </c:pt>
                <c:pt idx="34">
                  <c:v>1.4649007320404051</c:v>
                </c:pt>
                <c:pt idx="35">
                  <c:v>1.357004642486572</c:v>
                </c:pt>
                <c:pt idx="36">
                  <c:v>1.4317140579223631</c:v>
                </c:pt>
              </c:numCache>
            </c:numRef>
          </c:xVal>
          <c:yVal>
            <c:numRef>
              <c:f>'Tex86_0-2cm'!$AP$5:$AP$41</c:f>
              <c:numCache>
                <c:formatCode>General</c:formatCode>
                <c:ptCount val="37"/>
                <c:pt idx="0">
                  <c:v>2.4552479367429001</c:v>
                </c:pt>
                <c:pt idx="1">
                  <c:v>1.131085852961899</c:v>
                </c:pt>
                <c:pt idx="2">
                  <c:v>3.6505735193507007</c:v>
                </c:pt>
                <c:pt idx="3">
                  <c:v>3.8797623616288526</c:v>
                </c:pt>
                <c:pt idx="4">
                  <c:v>3.1362355152097017</c:v>
                </c:pt>
                <c:pt idx="5">
                  <c:v>5.0920097530904016</c:v>
                </c:pt>
                <c:pt idx="6">
                  <c:v>3.1701663164955498</c:v>
                </c:pt>
                <c:pt idx="7">
                  <c:v>2.7188542061640497</c:v>
                </c:pt>
                <c:pt idx="8">
                  <c:v>5.1690213706697996</c:v>
                </c:pt>
                <c:pt idx="9">
                  <c:v>8.9079053086210962</c:v>
                </c:pt>
                <c:pt idx="10">
                  <c:v>3.8932543446884011</c:v>
                </c:pt>
                <c:pt idx="11">
                  <c:v>3.7018013300252512</c:v>
                </c:pt>
                <c:pt idx="12">
                  <c:v>7.2329827862944995</c:v>
                </c:pt>
                <c:pt idx="13">
                  <c:v>5.2388962712036005</c:v>
                </c:pt>
                <c:pt idx="14">
                  <c:v>3.1972319229846526</c:v>
                </c:pt>
                <c:pt idx="15">
                  <c:v>1.6099930851332012</c:v>
                </c:pt>
                <c:pt idx="16">
                  <c:v>6.641686574281799</c:v>
                </c:pt>
                <c:pt idx="17">
                  <c:v>2.236437967009401</c:v>
                </c:pt>
                <c:pt idx="18">
                  <c:v>1.5376074912909026</c:v>
                </c:pt>
                <c:pt idx="19">
                  <c:v>2.4785718837045998</c:v>
                </c:pt>
                <c:pt idx="20">
                  <c:v>2.2896857851924999</c:v>
                </c:pt>
                <c:pt idx="21">
                  <c:v>2.4399406646555981</c:v>
                </c:pt>
                <c:pt idx="22">
                  <c:v>6.2736532197328003</c:v>
                </c:pt>
                <c:pt idx="23">
                  <c:v>2.2053314516736009</c:v>
                </c:pt>
                <c:pt idx="24">
                  <c:v>5.3842680872409971</c:v>
                </c:pt>
                <c:pt idx="25">
                  <c:v>4.6548876201240006</c:v>
                </c:pt>
                <c:pt idx="26">
                  <c:v>4.8613575199261021</c:v>
                </c:pt>
                <c:pt idx="27">
                  <c:v>5.6600204854053011</c:v>
                </c:pt>
                <c:pt idx="28">
                  <c:v>8.9029754777116992</c:v>
                </c:pt>
                <c:pt idx="29">
                  <c:v>4.8009293007830003</c:v>
                </c:pt>
                <c:pt idx="30">
                  <c:v>5.5749893008031997</c:v>
                </c:pt>
                <c:pt idx="31">
                  <c:v>6.9744389878846</c:v>
                </c:pt>
                <c:pt idx="32">
                  <c:v>4.7012251451040008</c:v>
                </c:pt>
                <c:pt idx="33">
                  <c:v>4.0683725135565005</c:v>
                </c:pt>
                <c:pt idx="34">
                  <c:v>4.9782056660905987</c:v>
                </c:pt>
                <c:pt idx="35">
                  <c:v>2.5420144586421998</c:v>
                </c:pt>
                <c:pt idx="36">
                  <c:v>2.2122538172380004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65-2A49-82FF-0D0AF5585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233007"/>
        <c:axId val="2142845375"/>
      </c:scatterChart>
      <c:valAx>
        <c:axId val="188523300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845375"/>
        <c:crossesAt val="1E-3"/>
        <c:crossBetween val="midCat"/>
      </c:valAx>
      <c:valAx>
        <c:axId val="214284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233007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Surface nitrate vs.</a:t>
            </a:r>
            <a:r>
              <a:rPr lang="en-US" baseline="0"/>
              <a:t> T residual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'Tex86_0-2cm'!$AO$5:$AO$41</c:f>
              <c:numCache>
                <c:formatCode>General</c:formatCode>
                <c:ptCount val="37"/>
                <c:pt idx="0">
                  <c:v>0.20072691142559049</c:v>
                </c:pt>
                <c:pt idx="1">
                  <c:v>0.18940214812755579</c:v>
                </c:pt>
                <c:pt idx="2">
                  <c:v>0.1879527419805527</c:v>
                </c:pt>
                <c:pt idx="3">
                  <c:v>0.20486696064472201</c:v>
                </c:pt>
                <c:pt idx="4">
                  <c:v>0.1819051057100296</c:v>
                </c:pt>
                <c:pt idx="5">
                  <c:v>0.18979980051517489</c:v>
                </c:pt>
                <c:pt idx="6">
                  <c:v>0.18979980051517489</c:v>
                </c:pt>
                <c:pt idx="7">
                  <c:v>0.18979980051517489</c:v>
                </c:pt>
                <c:pt idx="8">
                  <c:v>0.1819051057100296</c:v>
                </c:pt>
                <c:pt idx="9">
                  <c:v>0.1819051057100296</c:v>
                </c:pt>
                <c:pt idx="10">
                  <c:v>0.1731922775506973</c:v>
                </c:pt>
                <c:pt idx="11">
                  <c:v>0.1731922775506973</c:v>
                </c:pt>
                <c:pt idx="12">
                  <c:v>0.1783459335565567</c:v>
                </c:pt>
                <c:pt idx="13">
                  <c:v>0.1783459335565567</c:v>
                </c:pt>
                <c:pt idx="14">
                  <c:v>0.1962938457727432</c:v>
                </c:pt>
                <c:pt idx="15">
                  <c:v>0.20019297301769259</c:v>
                </c:pt>
                <c:pt idx="16">
                  <c:v>0.20019297301769259</c:v>
                </c:pt>
                <c:pt idx="17">
                  <c:v>0.22454039752483371</c:v>
                </c:pt>
                <c:pt idx="18">
                  <c:v>0.22454039752483371</c:v>
                </c:pt>
                <c:pt idx="19">
                  <c:v>0.2274220734834671</c:v>
                </c:pt>
                <c:pt idx="20">
                  <c:v>0.2274220734834671</c:v>
                </c:pt>
                <c:pt idx="21">
                  <c:v>0.21737714111804959</c:v>
                </c:pt>
                <c:pt idx="22">
                  <c:v>0.21737714111804959</c:v>
                </c:pt>
                <c:pt idx="23">
                  <c:v>0.2387101799249649</c:v>
                </c:pt>
                <c:pt idx="24">
                  <c:v>0.1945185512304306</c:v>
                </c:pt>
                <c:pt idx="25">
                  <c:v>0.22736407816410059</c:v>
                </c:pt>
                <c:pt idx="26">
                  <c:v>0.22736407816410059</c:v>
                </c:pt>
                <c:pt idx="27">
                  <c:v>0.21727000176906591</c:v>
                </c:pt>
                <c:pt idx="28">
                  <c:v>0.21727000176906591</c:v>
                </c:pt>
                <c:pt idx="29">
                  <c:v>0.22736407816410059</c:v>
                </c:pt>
                <c:pt idx="30">
                  <c:v>0.21727000176906591</c:v>
                </c:pt>
                <c:pt idx="31">
                  <c:v>0.20715115964412689</c:v>
                </c:pt>
                <c:pt idx="32">
                  <c:v>0.20715115964412689</c:v>
                </c:pt>
                <c:pt idx="33">
                  <c:v>0.2375408411026001</c:v>
                </c:pt>
                <c:pt idx="34">
                  <c:v>0.2375408411026001</c:v>
                </c:pt>
                <c:pt idx="35">
                  <c:v>0.24146933853626251</c:v>
                </c:pt>
                <c:pt idx="36">
                  <c:v>0.2375408411026001</c:v>
                </c:pt>
              </c:numCache>
            </c:numRef>
          </c:xVal>
          <c:yVal>
            <c:numRef>
              <c:f>'Tex86_0-2cm'!$AP$5:$AP$41</c:f>
              <c:numCache>
                <c:formatCode>General</c:formatCode>
                <c:ptCount val="37"/>
                <c:pt idx="0">
                  <c:v>2.4552479367429001</c:v>
                </c:pt>
                <c:pt idx="1">
                  <c:v>1.131085852961899</c:v>
                </c:pt>
                <c:pt idx="2">
                  <c:v>3.6505735193507007</c:v>
                </c:pt>
                <c:pt idx="3">
                  <c:v>3.8797623616288526</c:v>
                </c:pt>
                <c:pt idx="4">
                  <c:v>3.1362355152097017</c:v>
                </c:pt>
                <c:pt idx="5">
                  <c:v>5.0920097530904016</c:v>
                </c:pt>
                <c:pt idx="6">
                  <c:v>3.1701663164955498</c:v>
                </c:pt>
                <c:pt idx="7">
                  <c:v>2.7188542061640497</c:v>
                </c:pt>
                <c:pt idx="8">
                  <c:v>5.1690213706697996</c:v>
                </c:pt>
                <c:pt idx="9">
                  <c:v>8.9079053086210962</c:v>
                </c:pt>
                <c:pt idx="10">
                  <c:v>3.8932543446884011</c:v>
                </c:pt>
                <c:pt idx="11">
                  <c:v>3.7018013300252512</c:v>
                </c:pt>
                <c:pt idx="12">
                  <c:v>7.2329827862944995</c:v>
                </c:pt>
                <c:pt idx="13">
                  <c:v>5.2388962712036005</c:v>
                </c:pt>
                <c:pt idx="14">
                  <c:v>3.1972319229846526</c:v>
                </c:pt>
                <c:pt idx="15">
                  <c:v>1.6099930851332012</c:v>
                </c:pt>
                <c:pt idx="16">
                  <c:v>6.641686574281799</c:v>
                </c:pt>
                <c:pt idx="17">
                  <c:v>2.236437967009401</c:v>
                </c:pt>
                <c:pt idx="18">
                  <c:v>1.5376074912909026</c:v>
                </c:pt>
                <c:pt idx="19">
                  <c:v>2.4785718837045998</c:v>
                </c:pt>
                <c:pt idx="20">
                  <c:v>2.2896857851924999</c:v>
                </c:pt>
                <c:pt idx="21">
                  <c:v>2.4399406646555981</c:v>
                </c:pt>
                <c:pt idx="22">
                  <c:v>6.2736532197328003</c:v>
                </c:pt>
                <c:pt idx="23">
                  <c:v>2.2053314516736009</c:v>
                </c:pt>
                <c:pt idx="24">
                  <c:v>5.3842680872409971</c:v>
                </c:pt>
                <c:pt idx="25">
                  <c:v>4.6548876201240006</c:v>
                </c:pt>
                <c:pt idx="26">
                  <c:v>4.8613575199261021</c:v>
                </c:pt>
                <c:pt idx="27">
                  <c:v>5.6600204854053011</c:v>
                </c:pt>
                <c:pt idx="28">
                  <c:v>8.9029754777116992</c:v>
                </c:pt>
                <c:pt idx="29">
                  <c:v>4.8009293007830003</c:v>
                </c:pt>
                <c:pt idx="30">
                  <c:v>5.5749893008031997</c:v>
                </c:pt>
                <c:pt idx="31">
                  <c:v>6.9744389878846</c:v>
                </c:pt>
                <c:pt idx="32">
                  <c:v>4.7012251451040008</c:v>
                </c:pt>
                <c:pt idx="33">
                  <c:v>4.0683725135565005</c:v>
                </c:pt>
                <c:pt idx="34">
                  <c:v>4.9782056660905987</c:v>
                </c:pt>
                <c:pt idx="35">
                  <c:v>2.5420144586421998</c:v>
                </c:pt>
                <c:pt idx="36">
                  <c:v>2.2122538172380004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14-C24F-A3F8-102B1E2C3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233007"/>
        <c:axId val="2142845375"/>
      </c:scatterChart>
      <c:valAx>
        <c:axId val="1885233007"/>
        <c:scaling>
          <c:orientation val="minMax"/>
          <c:min val="0.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845375"/>
        <c:crosses val="autoZero"/>
        <c:crossBetween val="midCat"/>
      </c:valAx>
      <c:valAx>
        <c:axId val="2142845375"/>
        <c:scaling>
          <c:orientation val="minMax"/>
          <c:min val="0.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233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Intergrated depth vs. T residual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5955380577427817E-2"/>
                  <c:y val="0.13384259259259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'Tex86_0-2cm'!$AN$48:$AN$84</c:f>
              <c:numCache>
                <c:formatCode>General</c:formatCode>
                <c:ptCount val="37"/>
                <c:pt idx="0">
                  <c:v>2.7273461818695068</c:v>
                </c:pt>
                <c:pt idx="1">
                  <c:v>5.1361709833145142E-2</c:v>
                </c:pt>
                <c:pt idx="2">
                  <c:v>2.5489287376403809</c:v>
                </c:pt>
                <c:pt idx="3">
                  <c:v>3.9045472145080571</c:v>
                </c:pt>
                <c:pt idx="4">
                  <c:v>3.655184268951416</c:v>
                </c:pt>
                <c:pt idx="5">
                  <c:v>3.3688888549804692</c:v>
                </c:pt>
                <c:pt idx="6">
                  <c:v>3.397833108901978</c:v>
                </c:pt>
                <c:pt idx="7">
                  <c:v>3.4231243133544922</c:v>
                </c:pt>
                <c:pt idx="8">
                  <c:v>2.3372893333435059</c:v>
                </c:pt>
                <c:pt idx="9">
                  <c:v>3.512549877166748</c:v>
                </c:pt>
                <c:pt idx="10">
                  <c:v>2.3417826741933818E-3</c:v>
                </c:pt>
                <c:pt idx="11">
                  <c:v>6.3010095618665218E-3</c:v>
                </c:pt>
                <c:pt idx="12">
                  <c:v>5.9422550201416016</c:v>
                </c:pt>
                <c:pt idx="13">
                  <c:v>6.0392928123474121</c:v>
                </c:pt>
                <c:pt idx="14">
                  <c:v>3.518355131149292</c:v>
                </c:pt>
                <c:pt idx="15">
                  <c:v>2.799991145730019E-2</c:v>
                </c:pt>
                <c:pt idx="16">
                  <c:v>4.8196990974247464E-3</c:v>
                </c:pt>
                <c:pt idx="17">
                  <c:v>3.5081834066659212E-3</c:v>
                </c:pt>
                <c:pt idx="18">
                  <c:v>3.67910391651094E-3</c:v>
                </c:pt>
                <c:pt idx="19">
                  <c:v>3.4706280566751961E-3</c:v>
                </c:pt>
                <c:pt idx="20">
                  <c:v>3.8960967212915421E-3</c:v>
                </c:pt>
                <c:pt idx="21">
                  <c:v>2.5712044239044189</c:v>
                </c:pt>
                <c:pt idx="22">
                  <c:v>2.3894815444946289</c:v>
                </c:pt>
                <c:pt idx="23">
                  <c:v>2.1284298896789551</c:v>
                </c:pt>
                <c:pt idx="24">
                  <c:v>1.2752348184585569</c:v>
                </c:pt>
                <c:pt idx="25">
                  <c:v>4.5053092762827873E-3</c:v>
                </c:pt>
                <c:pt idx="26">
                  <c:v>2.838126383721828E-3</c:v>
                </c:pt>
                <c:pt idx="27">
                  <c:v>2.3379041813313961E-3</c:v>
                </c:pt>
                <c:pt idx="28">
                  <c:v>1.8975750207901001</c:v>
                </c:pt>
                <c:pt idx="29">
                  <c:v>2.6941185351461172E-3</c:v>
                </c:pt>
                <c:pt idx="30">
                  <c:v>4.2466414161026478E-3</c:v>
                </c:pt>
                <c:pt idx="31">
                  <c:v>1.7514603137969971</c:v>
                </c:pt>
                <c:pt idx="32">
                  <c:v>1.4745656251907351</c:v>
                </c:pt>
                <c:pt idx="33">
                  <c:v>1.634913325309753</c:v>
                </c:pt>
                <c:pt idx="34">
                  <c:v>1.4649007320404051</c:v>
                </c:pt>
                <c:pt idx="35">
                  <c:v>1.357004642486572</c:v>
                </c:pt>
                <c:pt idx="36">
                  <c:v>1.4317140579223631</c:v>
                </c:pt>
              </c:numCache>
            </c:numRef>
          </c:xVal>
          <c:yVal>
            <c:numRef>
              <c:f>'Tex86_0-2cm'!$AP$48:$AP$84</c:f>
              <c:numCache>
                <c:formatCode>0.00000</c:formatCode>
                <c:ptCount val="37"/>
                <c:pt idx="0">
                  <c:v>2.8658330334614988</c:v>
                </c:pt>
                <c:pt idx="1">
                  <c:v>0.20300930264610173</c:v>
                </c:pt>
                <c:pt idx="2">
                  <c:v>3.9395434512956982</c:v>
                </c:pt>
                <c:pt idx="3">
                  <c:v>4.1594832023998016</c:v>
                </c:pt>
                <c:pt idx="4">
                  <c:v>2.8988819882906007</c:v>
                </c:pt>
                <c:pt idx="5">
                  <c:v>3.4319167530904018</c:v>
                </c:pt>
                <c:pt idx="6">
                  <c:v>2.246494644516897</c:v>
                </c:pt>
                <c:pt idx="7">
                  <c:v>0.99053524104269997</c:v>
                </c:pt>
                <c:pt idx="8">
                  <c:v>3.7483203706697985</c:v>
                </c:pt>
                <c:pt idx="9">
                  <c:v>7.3568573086210982</c:v>
                </c:pt>
                <c:pt idx="10">
                  <c:v>3.7577998030116042</c:v>
                </c:pt>
                <c:pt idx="11">
                  <c:v>3.4385439575743995</c:v>
                </c:pt>
                <c:pt idx="12">
                  <c:v>5.416026786294502</c:v>
                </c:pt>
                <c:pt idx="13">
                  <c:v>3.4859132712036001</c:v>
                </c:pt>
                <c:pt idx="14">
                  <c:v>2.1225432910182001</c:v>
                </c:pt>
                <c:pt idx="15">
                  <c:v>-0.42801091486679965</c:v>
                </c:pt>
                <c:pt idx="16">
                  <c:v>4.7523855742817958</c:v>
                </c:pt>
                <c:pt idx="17">
                  <c:v>0.41066496700940291</c:v>
                </c:pt>
                <c:pt idx="18">
                  <c:v>-0.30480950870909851</c:v>
                </c:pt>
                <c:pt idx="19">
                  <c:v>0.55792088370460036</c:v>
                </c:pt>
                <c:pt idx="20">
                  <c:v>0.42614378519250096</c:v>
                </c:pt>
                <c:pt idx="21">
                  <c:v>0.68428866465559679</c:v>
                </c:pt>
                <c:pt idx="22">
                  <c:v>4.5029162197327999</c:v>
                </c:pt>
                <c:pt idx="23">
                  <c:v>0.44927345167360144</c:v>
                </c:pt>
                <c:pt idx="24">
                  <c:v>3.9649700872409994</c:v>
                </c:pt>
                <c:pt idx="25">
                  <c:v>3.2084336201240014</c:v>
                </c:pt>
                <c:pt idx="26">
                  <c:v>3.3974105199261011</c:v>
                </c:pt>
                <c:pt idx="27">
                  <c:v>4.1163424854053012</c:v>
                </c:pt>
                <c:pt idx="28">
                  <c:v>7.5206724777116989</c:v>
                </c:pt>
                <c:pt idx="29">
                  <c:v>3.3014243007830011</c:v>
                </c:pt>
                <c:pt idx="30">
                  <c:v>4.0803493008031992</c:v>
                </c:pt>
                <c:pt idx="31">
                  <c:v>5.6817389878846001</c:v>
                </c:pt>
                <c:pt idx="32">
                  <c:v>3.4162691451039997</c:v>
                </c:pt>
                <c:pt idx="33">
                  <c:v>2.7947845135565004</c:v>
                </c:pt>
                <c:pt idx="34">
                  <c:v>3.7381396660905999</c:v>
                </c:pt>
                <c:pt idx="35">
                  <c:v>1.3316144586421998</c:v>
                </c:pt>
                <c:pt idx="36">
                  <c:v>0.95663481723800103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66-954C-8573-34CB830A6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892895"/>
        <c:axId val="144883488"/>
      </c:scatterChart>
      <c:valAx>
        <c:axId val="188189289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3488"/>
        <c:crosses val="autoZero"/>
        <c:crossBetween val="midCat"/>
      </c:valAx>
      <c:valAx>
        <c:axId val="144883488"/>
        <c:scaling>
          <c:orientation val="minMax"/>
          <c:max val="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89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Intergrated depth vs. T residual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5955380577427817E-2"/>
                  <c:y val="0.13384259259259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'Tex86_0-2cm'!$AO$48:$AO$84</c:f>
              <c:numCache>
                <c:formatCode>General</c:formatCode>
                <c:ptCount val="37"/>
                <c:pt idx="0">
                  <c:v>0.20072691142559049</c:v>
                </c:pt>
                <c:pt idx="1">
                  <c:v>0.18940214812755579</c:v>
                </c:pt>
                <c:pt idx="2">
                  <c:v>0.1879527419805527</c:v>
                </c:pt>
                <c:pt idx="3">
                  <c:v>0.20486696064472201</c:v>
                </c:pt>
                <c:pt idx="4">
                  <c:v>0.1819051057100296</c:v>
                </c:pt>
                <c:pt idx="5">
                  <c:v>0.18979980051517489</c:v>
                </c:pt>
                <c:pt idx="6">
                  <c:v>0.18979980051517489</c:v>
                </c:pt>
                <c:pt idx="7">
                  <c:v>0.18979980051517489</c:v>
                </c:pt>
                <c:pt idx="8">
                  <c:v>0.1819051057100296</c:v>
                </c:pt>
                <c:pt idx="9">
                  <c:v>0.1819051057100296</c:v>
                </c:pt>
                <c:pt idx="10">
                  <c:v>0.1731922775506973</c:v>
                </c:pt>
                <c:pt idx="11">
                  <c:v>0.1731922775506973</c:v>
                </c:pt>
                <c:pt idx="12">
                  <c:v>0.1783459335565567</c:v>
                </c:pt>
                <c:pt idx="13">
                  <c:v>0.1783459335565567</c:v>
                </c:pt>
                <c:pt idx="14">
                  <c:v>0.1962938457727432</c:v>
                </c:pt>
                <c:pt idx="15">
                  <c:v>0.20019297301769259</c:v>
                </c:pt>
                <c:pt idx="16">
                  <c:v>0.20019297301769259</c:v>
                </c:pt>
                <c:pt idx="17">
                  <c:v>0.22454039752483371</c:v>
                </c:pt>
                <c:pt idx="18">
                  <c:v>0.22454039752483371</c:v>
                </c:pt>
                <c:pt idx="19">
                  <c:v>0.2274220734834671</c:v>
                </c:pt>
                <c:pt idx="20">
                  <c:v>0.2274220734834671</c:v>
                </c:pt>
                <c:pt idx="21">
                  <c:v>0.21737714111804959</c:v>
                </c:pt>
                <c:pt idx="22">
                  <c:v>0.21737714111804959</c:v>
                </c:pt>
                <c:pt idx="23">
                  <c:v>0.2387101799249649</c:v>
                </c:pt>
                <c:pt idx="24">
                  <c:v>0.1945185512304306</c:v>
                </c:pt>
                <c:pt idx="25">
                  <c:v>0.22736407816410059</c:v>
                </c:pt>
                <c:pt idx="26">
                  <c:v>0.22736407816410059</c:v>
                </c:pt>
                <c:pt idx="27">
                  <c:v>0.21727000176906591</c:v>
                </c:pt>
                <c:pt idx="28">
                  <c:v>0.21727000176906591</c:v>
                </c:pt>
                <c:pt idx="29">
                  <c:v>0.22736407816410059</c:v>
                </c:pt>
                <c:pt idx="30">
                  <c:v>0.21727000176906591</c:v>
                </c:pt>
                <c:pt idx="31">
                  <c:v>0.20715115964412689</c:v>
                </c:pt>
                <c:pt idx="32">
                  <c:v>0.20715115964412689</c:v>
                </c:pt>
                <c:pt idx="33">
                  <c:v>0.2375408411026001</c:v>
                </c:pt>
                <c:pt idx="34">
                  <c:v>0.2375408411026001</c:v>
                </c:pt>
                <c:pt idx="35">
                  <c:v>0.24146933853626251</c:v>
                </c:pt>
                <c:pt idx="36">
                  <c:v>0.2375408411026001</c:v>
                </c:pt>
              </c:numCache>
            </c:numRef>
          </c:xVal>
          <c:yVal>
            <c:numRef>
              <c:f>'Tex86_0-2cm'!$AP$48:$AP$84</c:f>
              <c:numCache>
                <c:formatCode>0.00000</c:formatCode>
                <c:ptCount val="37"/>
                <c:pt idx="0">
                  <c:v>2.8658330334614988</c:v>
                </c:pt>
                <c:pt idx="1">
                  <c:v>0.20300930264610173</c:v>
                </c:pt>
                <c:pt idx="2">
                  <c:v>3.9395434512956982</c:v>
                </c:pt>
                <c:pt idx="3">
                  <c:v>4.1594832023998016</c:v>
                </c:pt>
                <c:pt idx="4">
                  <c:v>2.8988819882906007</c:v>
                </c:pt>
                <c:pt idx="5">
                  <c:v>3.4319167530904018</c:v>
                </c:pt>
                <c:pt idx="6">
                  <c:v>2.246494644516897</c:v>
                </c:pt>
                <c:pt idx="7">
                  <c:v>0.99053524104269997</c:v>
                </c:pt>
                <c:pt idx="8">
                  <c:v>3.7483203706697985</c:v>
                </c:pt>
                <c:pt idx="9">
                  <c:v>7.3568573086210982</c:v>
                </c:pt>
                <c:pt idx="10">
                  <c:v>3.7577998030116042</c:v>
                </c:pt>
                <c:pt idx="11">
                  <c:v>3.4385439575743995</c:v>
                </c:pt>
                <c:pt idx="12">
                  <c:v>5.416026786294502</c:v>
                </c:pt>
                <c:pt idx="13">
                  <c:v>3.4859132712036001</c:v>
                </c:pt>
                <c:pt idx="14">
                  <c:v>2.1225432910182001</c:v>
                </c:pt>
                <c:pt idx="15">
                  <c:v>-0.42801091486679965</c:v>
                </c:pt>
                <c:pt idx="16">
                  <c:v>4.7523855742817958</c:v>
                </c:pt>
                <c:pt idx="17">
                  <c:v>0.41066496700940291</c:v>
                </c:pt>
                <c:pt idx="18">
                  <c:v>-0.30480950870909851</c:v>
                </c:pt>
                <c:pt idx="19">
                  <c:v>0.55792088370460036</c:v>
                </c:pt>
                <c:pt idx="20">
                  <c:v>0.42614378519250096</c:v>
                </c:pt>
                <c:pt idx="21">
                  <c:v>0.68428866465559679</c:v>
                </c:pt>
                <c:pt idx="22">
                  <c:v>4.5029162197327999</c:v>
                </c:pt>
                <c:pt idx="23">
                  <c:v>0.44927345167360144</c:v>
                </c:pt>
                <c:pt idx="24">
                  <c:v>3.9649700872409994</c:v>
                </c:pt>
                <c:pt idx="25">
                  <c:v>3.2084336201240014</c:v>
                </c:pt>
                <c:pt idx="26">
                  <c:v>3.3974105199261011</c:v>
                </c:pt>
                <c:pt idx="27">
                  <c:v>4.1163424854053012</c:v>
                </c:pt>
                <c:pt idx="28">
                  <c:v>7.5206724777116989</c:v>
                </c:pt>
                <c:pt idx="29">
                  <c:v>3.3014243007830011</c:v>
                </c:pt>
                <c:pt idx="30">
                  <c:v>4.0803493008031992</c:v>
                </c:pt>
                <c:pt idx="31">
                  <c:v>5.6817389878846001</c:v>
                </c:pt>
                <c:pt idx="32">
                  <c:v>3.4162691451039997</c:v>
                </c:pt>
                <c:pt idx="33">
                  <c:v>2.7947845135565004</c:v>
                </c:pt>
                <c:pt idx="34">
                  <c:v>3.7381396660905999</c:v>
                </c:pt>
                <c:pt idx="35">
                  <c:v>1.3316144586421998</c:v>
                </c:pt>
                <c:pt idx="36">
                  <c:v>0.95663481723800103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38-3043-831A-F918BE314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892895"/>
        <c:axId val="144883488"/>
      </c:scatterChart>
      <c:valAx>
        <c:axId val="1881892895"/>
        <c:scaling>
          <c:orientation val="minMax"/>
          <c:min val="0.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3488"/>
        <c:crosses val="autoZero"/>
        <c:crossBetween val="midCat"/>
      </c:valAx>
      <c:valAx>
        <c:axId val="144883488"/>
        <c:scaling>
          <c:orientation val="minMax"/>
          <c:max val="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89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SST</a:t>
            </a:r>
            <a:r>
              <a:rPr lang="en-US" baseline="0"/>
              <a:t> vs. JFMAMJ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5955380577427817E-2"/>
                  <c:y val="0.13384259259259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'Tex86_0-2cm'!$Q$5:$Q$41</c:f>
              <c:numCache>
                <c:formatCode>General</c:formatCode>
                <c:ptCount val="37"/>
                <c:pt idx="0">
                  <c:v>30.681129936742899</c:v>
                </c:pt>
                <c:pt idx="1">
                  <c:v>29.1754358529619</c:v>
                </c:pt>
                <c:pt idx="2">
                  <c:v>31.370809519350701</c:v>
                </c:pt>
                <c:pt idx="3">
                  <c:v>31.406860361628851</c:v>
                </c:pt>
                <c:pt idx="4">
                  <c:v>30.5385025152097</c:v>
                </c:pt>
                <c:pt idx="5" formatCode="0.00000">
                  <c:v>32.279723753090401</c:v>
                </c:pt>
                <c:pt idx="6">
                  <c:v>30.268336316495549</c:v>
                </c:pt>
                <c:pt idx="7">
                  <c:v>29.89781420616405</c:v>
                </c:pt>
                <c:pt idx="8" formatCode="0.00000">
                  <c:v>32.589620370669799</c:v>
                </c:pt>
                <c:pt idx="9" formatCode="0.00000">
                  <c:v>36.210504308621097</c:v>
                </c:pt>
                <c:pt idx="10">
                  <c:v>30.810208344688402</c:v>
                </c:pt>
                <c:pt idx="11">
                  <c:v>30.682291330025251</c:v>
                </c:pt>
                <c:pt idx="12" formatCode="0.00000">
                  <c:v>33.811112786294501</c:v>
                </c:pt>
                <c:pt idx="13" formatCode="0.00000">
                  <c:v>31.930897271203602</c:v>
                </c:pt>
                <c:pt idx="14">
                  <c:v>29.639576922984652</c:v>
                </c:pt>
                <c:pt idx="15" formatCode="0.00000">
                  <c:v>27.6379240851332</c:v>
                </c:pt>
                <c:pt idx="16" formatCode="0.00000">
                  <c:v>32.779700574281797</c:v>
                </c:pt>
                <c:pt idx="17" formatCode="0.00000">
                  <c:v>28.507212967009401</c:v>
                </c:pt>
                <c:pt idx="18" formatCode="0.00000">
                  <c:v>27.694671491290901</c:v>
                </c:pt>
                <c:pt idx="19" formatCode="0.00000">
                  <c:v>28.3774878837046</c:v>
                </c:pt>
                <c:pt idx="20" formatCode="0.00000">
                  <c:v>28.080304785192499</c:v>
                </c:pt>
                <c:pt idx="21" formatCode="0.00000">
                  <c:v>27.518822664655598</c:v>
                </c:pt>
                <c:pt idx="22" formatCode="0.00000">
                  <c:v>31.3747502197328</c:v>
                </c:pt>
                <c:pt idx="23" formatCode="0.00000">
                  <c:v>27.0234464516736</c:v>
                </c:pt>
                <c:pt idx="24" formatCode="0.00000">
                  <c:v>29.272755087240999</c:v>
                </c:pt>
                <c:pt idx="25" formatCode="0.00000">
                  <c:v>28.500333620124</c:v>
                </c:pt>
                <c:pt idx="26" formatCode="0.00000">
                  <c:v>28.584488519926101</c:v>
                </c:pt>
                <c:pt idx="27" formatCode="0.00000">
                  <c:v>28.7013924854053</c:v>
                </c:pt>
                <c:pt idx="28" formatCode="0.00000">
                  <c:v>32.325689477711698</c:v>
                </c:pt>
                <c:pt idx="29" formatCode="0.00000">
                  <c:v>28.206339300783</c:v>
                </c:pt>
                <c:pt idx="30" formatCode="0.00000">
                  <c:v>28.4724373008032</c:v>
                </c:pt>
                <c:pt idx="31" formatCode="0.00000">
                  <c:v>29.2816059878846</c:v>
                </c:pt>
                <c:pt idx="32" formatCode="0.00000">
                  <c:v>27.169305145104001</c:v>
                </c:pt>
                <c:pt idx="33" formatCode="0.00000">
                  <c:v>26.3214855135565</c:v>
                </c:pt>
                <c:pt idx="34" formatCode="0.00000">
                  <c:v>27.2968556660906</c:v>
                </c:pt>
                <c:pt idx="35" formatCode="0.00000">
                  <c:v>24.757546458642199</c:v>
                </c:pt>
                <c:pt idx="36" formatCode="0.00000">
                  <c:v>24.073587817238</c:v>
                </c:pt>
              </c:numCache>
            </c:numRef>
          </c:xVal>
          <c:yVal>
            <c:numRef>
              <c:f>'Tex86_0-2cm'!$X$5:$X$41</c:f>
              <c:numCache>
                <c:formatCode>General</c:formatCode>
                <c:ptCount val="37"/>
                <c:pt idx="0">
                  <c:v>29.025119</c:v>
                </c:pt>
                <c:pt idx="1">
                  <c:v>28.939909</c:v>
                </c:pt>
                <c:pt idx="2">
                  <c:v>28.736034500000002</c:v>
                </c:pt>
                <c:pt idx="3">
                  <c:v>28.633181999999998</c:v>
                </c:pt>
                <c:pt idx="4">
                  <c:v>28.508949000000001</c:v>
                </c:pt>
                <c:pt idx="5">
                  <c:v>28.355494499999999</c:v>
                </c:pt>
                <c:pt idx="6">
                  <c:v>28.311155499999998</c:v>
                </c:pt>
                <c:pt idx="7">
                  <c:v>28.363700999999999</c:v>
                </c:pt>
                <c:pt idx="8">
                  <c:v>28.46255</c:v>
                </c:pt>
                <c:pt idx="9">
                  <c:v>28.420248000000001</c:v>
                </c:pt>
                <c:pt idx="10">
                  <c:v>28.214948999999997</c:v>
                </c:pt>
                <c:pt idx="11">
                  <c:v>28.249866000000001</c:v>
                </c:pt>
                <c:pt idx="12">
                  <c:v>27.994399999999999</c:v>
                </c:pt>
                <c:pt idx="13">
                  <c:v>28.076252</c:v>
                </c:pt>
                <c:pt idx="14">
                  <c:v>27.831848000000001</c:v>
                </c:pt>
                <c:pt idx="15">
                  <c:v>27.509967500000002</c:v>
                </c:pt>
                <c:pt idx="16">
                  <c:v>27.637131500000002</c:v>
                </c:pt>
                <c:pt idx="17">
                  <c:v>27.677714000000002</c:v>
                </c:pt>
                <c:pt idx="18">
                  <c:v>27.5667945</c:v>
                </c:pt>
                <c:pt idx="19">
                  <c:v>27.390359</c:v>
                </c:pt>
                <c:pt idx="20">
                  <c:v>27.271588999999999</c:v>
                </c:pt>
                <c:pt idx="21">
                  <c:v>26.591000000000001</c:v>
                </c:pt>
                <c:pt idx="22">
                  <c:v>26.587932500000001</c:v>
                </c:pt>
                <c:pt idx="23">
                  <c:v>26.279118499999999</c:v>
                </c:pt>
                <c:pt idx="24">
                  <c:v>25.192528500000002</c:v>
                </c:pt>
                <c:pt idx="25">
                  <c:v>25.118789999999997</c:v>
                </c:pt>
                <c:pt idx="26">
                  <c:v>24.969957999999998</c:v>
                </c:pt>
                <c:pt idx="27">
                  <c:v>24.216273999999999</c:v>
                </c:pt>
                <c:pt idx="28">
                  <c:v>24.6445215</c:v>
                </c:pt>
                <c:pt idx="29">
                  <c:v>24.6072235</c:v>
                </c:pt>
                <c:pt idx="30">
                  <c:v>24.095083500000001</c:v>
                </c:pt>
                <c:pt idx="31">
                  <c:v>23.612033499999999</c:v>
                </c:pt>
                <c:pt idx="32">
                  <c:v>23.740092000000001</c:v>
                </c:pt>
                <c:pt idx="33">
                  <c:v>23.573633999999998</c:v>
                </c:pt>
                <c:pt idx="34">
                  <c:v>23.650935500000003</c:v>
                </c:pt>
                <c:pt idx="35">
                  <c:v>23.532874</c:v>
                </c:pt>
                <c:pt idx="36">
                  <c:v>23.133741499999999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6B-6246-B5EA-D6DD7D0C8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892895"/>
        <c:axId val="144883488"/>
      </c:scatterChart>
      <c:valAx>
        <c:axId val="1881892895"/>
        <c:scaling>
          <c:orientation val="minMax"/>
          <c:min val="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3488"/>
        <c:crosses val="autoZero"/>
        <c:crossBetween val="midCat"/>
      </c:valAx>
      <c:valAx>
        <c:axId val="144883488"/>
        <c:scaling>
          <c:orientation val="minMax"/>
          <c:max val="30"/>
          <c:min val="2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89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Water depth vs. T residual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5955380577427817E-2"/>
                  <c:y val="0.13384259259259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'Tex86_0-2cm'!$B$5:$B$41</c:f>
              <c:numCache>
                <c:formatCode>General</c:formatCode>
                <c:ptCount val="37"/>
                <c:pt idx="0">
                  <c:v>1460.5</c:v>
                </c:pt>
                <c:pt idx="1">
                  <c:v>1628.5</c:v>
                </c:pt>
                <c:pt idx="2">
                  <c:v>1388</c:v>
                </c:pt>
                <c:pt idx="3">
                  <c:v>668.8</c:v>
                </c:pt>
                <c:pt idx="4">
                  <c:v>1951.3</c:v>
                </c:pt>
                <c:pt idx="5">
                  <c:v>1619.7</c:v>
                </c:pt>
                <c:pt idx="6">
                  <c:v>497.9</c:v>
                </c:pt>
                <c:pt idx="7">
                  <c:v>1113.7</c:v>
                </c:pt>
                <c:pt idx="8">
                  <c:v>1843.6</c:v>
                </c:pt>
                <c:pt idx="9">
                  <c:v>2405.9</c:v>
                </c:pt>
                <c:pt idx="10">
                  <c:v>1755.4</c:v>
                </c:pt>
                <c:pt idx="11">
                  <c:v>1976.5</c:v>
                </c:pt>
                <c:pt idx="12">
                  <c:v>868.8</c:v>
                </c:pt>
                <c:pt idx="13">
                  <c:v>1185</c:v>
                </c:pt>
                <c:pt idx="14">
                  <c:v>1298.8</c:v>
                </c:pt>
                <c:pt idx="15">
                  <c:v>349.7</c:v>
                </c:pt>
                <c:pt idx="16">
                  <c:v>1253.9000000000001</c:v>
                </c:pt>
                <c:pt idx="17">
                  <c:v>1133.5</c:v>
                </c:pt>
                <c:pt idx="18">
                  <c:v>1131</c:v>
                </c:pt>
                <c:pt idx="19">
                  <c:v>1100</c:v>
                </c:pt>
                <c:pt idx="20">
                  <c:v>1182.4000000000001</c:v>
                </c:pt>
                <c:pt idx="21">
                  <c:v>1049.3</c:v>
                </c:pt>
                <c:pt idx="22">
                  <c:v>1327.9</c:v>
                </c:pt>
                <c:pt idx="23">
                  <c:v>1250.5</c:v>
                </c:pt>
                <c:pt idx="24">
                  <c:v>504.5</c:v>
                </c:pt>
                <c:pt idx="25">
                  <c:v>1032</c:v>
                </c:pt>
                <c:pt idx="26">
                  <c:v>1725.9</c:v>
                </c:pt>
                <c:pt idx="27">
                  <c:v>1678.9</c:v>
                </c:pt>
                <c:pt idx="28">
                  <c:v>715.1</c:v>
                </c:pt>
                <c:pt idx="29">
                  <c:v>1369.1</c:v>
                </c:pt>
                <c:pt idx="30">
                  <c:v>1571.5</c:v>
                </c:pt>
                <c:pt idx="31">
                  <c:v>1121.0999999999999</c:v>
                </c:pt>
                <c:pt idx="32">
                  <c:v>1182.7</c:v>
                </c:pt>
                <c:pt idx="33">
                  <c:v>1014.6</c:v>
                </c:pt>
                <c:pt idx="34">
                  <c:v>797.8</c:v>
                </c:pt>
                <c:pt idx="35">
                  <c:v>810.2</c:v>
                </c:pt>
                <c:pt idx="36">
                  <c:v>2485.8000000000002</c:v>
                </c:pt>
              </c:numCache>
            </c:numRef>
          </c:xVal>
          <c:yVal>
            <c:numRef>
              <c:f>'Tex86_0-2cm'!$AP$5:$AP$41</c:f>
              <c:numCache>
                <c:formatCode>General</c:formatCode>
                <c:ptCount val="37"/>
                <c:pt idx="0">
                  <c:v>2.4552479367429001</c:v>
                </c:pt>
                <c:pt idx="1">
                  <c:v>1.131085852961899</c:v>
                </c:pt>
                <c:pt idx="2">
                  <c:v>3.6505735193507007</c:v>
                </c:pt>
                <c:pt idx="3">
                  <c:v>3.8797623616288526</c:v>
                </c:pt>
                <c:pt idx="4">
                  <c:v>3.1362355152097017</c:v>
                </c:pt>
                <c:pt idx="5">
                  <c:v>5.0920097530904016</c:v>
                </c:pt>
                <c:pt idx="6">
                  <c:v>3.1701663164955498</c:v>
                </c:pt>
                <c:pt idx="7">
                  <c:v>2.7188542061640497</c:v>
                </c:pt>
                <c:pt idx="8">
                  <c:v>5.1690213706697996</c:v>
                </c:pt>
                <c:pt idx="9">
                  <c:v>8.9079053086210962</c:v>
                </c:pt>
                <c:pt idx="10">
                  <c:v>3.8932543446884011</c:v>
                </c:pt>
                <c:pt idx="11">
                  <c:v>3.7018013300252512</c:v>
                </c:pt>
                <c:pt idx="12">
                  <c:v>7.2329827862944995</c:v>
                </c:pt>
                <c:pt idx="13">
                  <c:v>5.2388962712036005</c:v>
                </c:pt>
                <c:pt idx="14">
                  <c:v>3.1972319229846526</c:v>
                </c:pt>
                <c:pt idx="15">
                  <c:v>1.6099930851332012</c:v>
                </c:pt>
                <c:pt idx="16">
                  <c:v>6.641686574281799</c:v>
                </c:pt>
                <c:pt idx="17">
                  <c:v>2.236437967009401</c:v>
                </c:pt>
                <c:pt idx="18">
                  <c:v>1.5376074912909026</c:v>
                </c:pt>
                <c:pt idx="19">
                  <c:v>2.4785718837045998</c:v>
                </c:pt>
                <c:pt idx="20">
                  <c:v>2.2896857851924999</c:v>
                </c:pt>
                <c:pt idx="21">
                  <c:v>2.4399406646555981</c:v>
                </c:pt>
                <c:pt idx="22">
                  <c:v>6.2736532197328003</c:v>
                </c:pt>
                <c:pt idx="23">
                  <c:v>2.2053314516736009</c:v>
                </c:pt>
                <c:pt idx="24">
                  <c:v>5.3842680872409971</c:v>
                </c:pt>
                <c:pt idx="25">
                  <c:v>4.6548876201240006</c:v>
                </c:pt>
                <c:pt idx="26">
                  <c:v>4.8613575199261021</c:v>
                </c:pt>
                <c:pt idx="27">
                  <c:v>5.6600204854053011</c:v>
                </c:pt>
                <c:pt idx="28">
                  <c:v>8.9029754777116992</c:v>
                </c:pt>
                <c:pt idx="29">
                  <c:v>4.8009293007830003</c:v>
                </c:pt>
                <c:pt idx="30">
                  <c:v>5.5749893008031997</c:v>
                </c:pt>
                <c:pt idx="31">
                  <c:v>6.9744389878846</c:v>
                </c:pt>
                <c:pt idx="32">
                  <c:v>4.7012251451040008</c:v>
                </c:pt>
                <c:pt idx="33">
                  <c:v>4.0683725135565005</c:v>
                </c:pt>
                <c:pt idx="34">
                  <c:v>4.9782056660905987</c:v>
                </c:pt>
                <c:pt idx="35">
                  <c:v>2.5420144586421998</c:v>
                </c:pt>
                <c:pt idx="36">
                  <c:v>2.2122538172380004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0A-3E42-B140-126DBB995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892895"/>
        <c:axId val="144883488"/>
      </c:scatterChart>
      <c:valAx>
        <c:axId val="1881892895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3488"/>
        <c:crosses val="autoZero"/>
        <c:crossBetween val="midCat"/>
      </c:valAx>
      <c:valAx>
        <c:axId val="144883488"/>
        <c:scaling>
          <c:orientation val="minMax"/>
          <c:max val="9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89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1029083402378906E-3"/>
                  <c:y val="-0.132951886576871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'Tex86_0-2cm'!$AN$5:$AN$41</c:f>
              <c:numCache>
                <c:formatCode>General</c:formatCode>
                <c:ptCount val="37"/>
                <c:pt idx="0">
                  <c:v>2.7273461818695068</c:v>
                </c:pt>
                <c:pt idx="1">
                  <c:v>5.1361709833145142E-2</c:v>
                </c:pt>
                <c:pt idx="2">
                  <c:v>2.5489287376403809</c:v>
                </c:pt>
                <c:pt idx="3">
                  <c:v>3.9045472145080571</c:v>
                </c:pt>
                <c:pt idx="4">
                  <c:v>3.655184268951416</c:v>
                </c:pt>
                <c:pt idx="5">
                  <c:v>3.3688888549804692</c:v>
                </c:pt>
                <c:pt idx="6">
                  <c:v>3.397833108901978</c:v>
                </c:pt>
                <c:pt idx="7">
                  <c:v>3.4231243133544922</c:v>
                </c:pt>
                <c:pt idx="8">
                  <c:v>2.3372893333435059</c:v>
                </c:pt>
                <c:pt idx="9">
                  <c:v>3.512549877166748</c:v>
                </c:pt>
                <c:pt idx="10">
                  <c:v>2.3417826741933818E-3</c:v>
                </c:pt>
                <c:pt idx="11">
                  <c:v>6.3010095618665218E-3</c:v>
                </c:pt>
                <c:pt idx="12">
                  <c:v>5.9422550201416016</c:v>
                </c:pt>
                <c:pt idx="13">
                  <c:v>6.0392928123474121</c:v>
                </c:pt>
                <c:pt idx="14">
                  <c:v>3.518355131149292</c:v>
                </c:pt>
                <c:pt idx="15">
                  <c:v>2.799991145730019E-2</c:v>
                </c:pt>
                <c:pt idx="16">
                  <c:v>4.8196990974247464E-3</c:v>
                </c:pt>
                <c:pt idx="17">
                  <c:v>3.5081834066659212E-3</c:v>
                </c:pt>
                <c:pt idx="18">
                  <c:v>3.67910391651094E-3</c:v>
                </c:pt>
                <c:pt idx="19">
                  <c:v>3.4706280566751961E-3</c:v>
                </c:pt>
                <c:pt idx="20">
                  <c:v>3.8960967212915421E-3</c:v>
                </c:pt>
                <c:pt idx="21">
                  <c:v>2.5712044239044189</c:v>
                </c:pt>
                <c:pt idx="22">
                  <c:v>2.3894815444946289</c:v>
                </c:pt>
                <c:pt idx="23">
                  <c:v>2.1284298896789551</c:v>
                </c:pt>
                <c:pt idx="24">
                  <c:v>1.2752348184585569</c:v>
                </c:pt>
                <c:pt idx="25">
                  <c:v>4.5053092762827873E-3</c:v>
                </c:pt>
                <c:pt idx="26">
                  <c:v>2.838126383721828E-3</c:v>
                </c:pt>
                <c:pt idx="27">
                  <c:v>2.3379041813313961E-3</c:v>
                </c:pt>
                <c:pt idx="28">
                  <c:v>1.8975750207901001</c:v>
                </c:pt>
                <c:pt idx="29">
                  <c:v>2.6941185351461172E-3</c:v>
                </c:pt>
                <c:pt idx="30">
                  <c:v>4.2466414161026478E-3</c:v>
                </c:pt>
                <c:pt idx="31">
                  <c:v>1.7514603137969971</c:v>
                </c:pt>
                <c:pt idx="32">
                  <c:v>1.4745656251907351</c:v>
                </c:pt>
                <c:pt idx="33">
                  <c:v>1.634913325309753</c:v>
                </c:pt>
                <c:pt idx="34">
                  <c:v>1.4649007320404051</c:v>
                </c:pt>
                <c:pt idx="35">
                  <c:v>1.357004642486572</c:v>
                </c:pt>
                <c:pt idx="36">
                  <c:v>1.4317140579223631</c:v>
                </c:pt>
              </c:numCache>
            </c:numRef>
          </c:xVal>
          <c:yVal>
            <c:numRef>
              <c:f>'Tex86_0-2cm'!$AS$5:$AS$41</c:f>
              <c:numCache>
                <c:formatCode>General</c:formatCode>
                <c:ptCount val="37"/>
                <c:pt idx="0">
                  <c:v>8.7345284995327566E-2</c:v>
                </c:pt>
                <c:pt idx="1">
                  <c:v>4.8228700920598833E-2</c:v>
                </c:pt>
                <c:pt idx="2">
                  <c:v>0.11013627603666454</c:v>
                </c:pt>
                <c:pt idx="3">
                  <c:v>0.12396175348642291</c:v>
                </c:pt>
                <c:pt idx="4">
                  <c:v>0.10892914361363881</c:v>
                </c:pt>
                <c:pt idx="5">
                  <c:v>0.13830473394163212</c:v>
                </c:pt>
                <c:pt idx="6">
                  <c:v>0.10332649105785807</c:v>
                </c:pt>
                <c:pt idx="7">
                  <c:v>9.6330017094891862E-2</c:v>
                </c:pt>
                <c:pt idx="8">
                  <c:v>0.14176011358142893</c:v>
                </c:pt>
                <c:pt idx="9">
                  <c:v>0.20612056450343386</c:v>
                </c:pt>
                <c:pt idx="10">
                  <c:v>8.0739822240784909E-2</c:v>
                </c:pt>
                <c:pt idx="11">
                  <c:v>8.2368589216605059E-2</c:v>
                </c:pt>
                <c:pt idx="12">
                  <c:v>0.18788714815159824</c:v>
                </c:pt>
                <c:pt idx="13">
                  <c:v>0.15829704298112945</c:v>
                </c:pt>
                <c:pt idx="14">
                  <c:v>0.10907076853497366</c:v>
                </c:pt>
                <c:pt idx="15">
                  <c:v>4.4624056883676655E-2</c:v>
                </c:pt>
                <c:pt idx="16">
                  <c:v>0.12739937449359862</c:v>
                </c:pt>
                <c:pt idx="17">
                  <c:v>4.8139738342388272E-2</c:v>
                </c:pt>
                <c:pt idx="18">
                  <c:v>4.5488793559018692E-2</c:v>
                </c:pt>
                <c:pt idx="19">
                  <c:v>5.1602762462755081E-2</c:v>
                </c:pt>
                <c:pt idx="20">
                  <c:v>5.1855292468838465E-2</c:v>
                </c:pt>
                <c:pt idx="21">
                  <c:v>9.3564469400020833E-2</c:v>
                </c:pt>
                <c:pt idx="22">
                  <c:v>0.16035757015937047</c:v>
                </c:pt>
                <c:pt idx="23">
                  <c:v>8.6886231545210024E-2</c:v>
                </c:pt>
                <c:pt idx="24">
                  <c:v>0.13708160467441766</c:v>
                </c:pt>
                <c:pt idx="25">
                  <c:v>8.8829960987731882E-2</c:v>
                </c:pt>
                <c:pt idx="26">
                  <c:v>8.3817657989140981E-2</c:v>
                </c:pt>
                <c:pt idx="27">
                  <c:v>9.6329588946431954E-2</c:v>
                </c:pt>
                <c:pt idx="28">
                  <c:v>0.19778103006736469</c:v>
                </c:pt>
                <c:pt idx="29">
                  <c:v>8.5061781111985812E-2</c:v>
                </c:pt>
                <c:pt idx="30">
                  <c:v>9.5578868550537877E-2</c:v>
                </c:pt>
                <c:pt idx="31">
                  <c:v>0.15601469733153916</c:v>
                </c:pt>
                <c:pt idx="32">
                  <c:v>0.1135016006294437</c:v>
                </c:pt>
                <c:pt idx="33">
                  <c:v>0.1040746038335465</c:v>
                </c:pt>
                <c:pt idx="34">
                  <c:v>0.11750029152701069</c:v>
                </c:pt>
                <c:pt idx="35">
                  <c:v>7.9758645315547994E-2</c:v>
                </c:pt>
                <c:pt idx="36">
                  <c:v>0.12171302723060085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C3-8D46-A303-F4307FCC0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233007"/>
        <c:axId val="2142845375"/>
      </c:scatterChart>
      <c:valAx>
        <c:axId val="188523300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Depth-intergrated nitrate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845375"/>
        <c:crossesAt val="1E-3"/>
        <c:crossBetween val="midCat"/>
      </c:valAx>
      <c:valAx>
        <c:axId val="214284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TEX86 residual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233007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Water</a:t>
            </a:r>
            <a:r>
              <a:rPr lang="en-US" baseline="0"/>
              <a:t> depth vs. TEX residual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1029083402378906E-3"/>
                  <c:y val="-0.132951886576871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'Tex86_0-2cm'!$B$5:$B$41</c:f>
              <c:numCache>
                <c:formatCode>General</c:formatCode>
                <c:ptCount val="37"/>
                <c:pt idx="0">
                  <c:v>1460.5</c:v>
                </c:pt>
                <c:pt idx="1">
                  <c:v>1628.5</c:v>
                </c:pt>
                <c:pt idx="2">
                  <c:v>1388</c:v>
                </c:pt>
                <c:pt idx="3">
                  <c:v>668.8</c:v>
                </c:pt>
                <c:pt idx="4">
                  <c:v>1951.3</c:v>
                </c:pt>
                <c:pt idx="5">
                  <c:v>1619.7</c:v>
                </c:pt>
                <c:pt idx="6">
                  <c:v>497.9</c:v>
                </c:pt>
                <c:pt idx="7">
                  <c:v>1113.7</c:v>
                </c:pt>
                <c:pt idx="8">
                  <c:v>1843.6</c:v>
                </c:pt>
                <c:pt idx="9">
                  <c:v>2405.9</c:v>
                </c:pt>
                <c:pt idx="10">
                  <c:v>1755.4</c:v>
                </c:pt>
                <c:pt idx="11">
                  <c:v>1976.5</c:v>
                </c:pt>
                <c:pt idx="12">
                  <c:v>868.8</c:v>
                </c:pt>
                <c:pt idx="13">
                  <c:v>1185</c:v>
                </c:pt>
                <c:pt idx="14">
                  <c:v>1298.8</c:v>
                </c:pt>
                <c:pt idx="15">
                  <c:v>349.7</c:v>
                </c:pt>
                <c:pt idx="16">
                  <c:v>1253.9000000000001</c:v>
                </c:pt>
                <c:pt idx="17">
                  <c:v>1133.5</c:v>
                </c:pt>
                <c:pt idx="18">
                  <c:v>1131</c:v>
                </c:pt>
                <c:pt idx="19">
                  <c:v>1100</c:v>
                </c:pt>
                <c:pt idx="20">
                  <c:v>1182.4000000000001</c:v>
                </c:pt>
                <c:pt idx="21">
                  <c:v>1049.3</c:v>
                </c:pt>
                <c:pt idx="22">
                  <c:v>1327.9</c:v>
                </c:pt>
                <c:pt idx="23">
                  <c:v>1250.5</c:v>
                </c:pt>
                <c:pt idx="24">
                  <c:v>504.5</c:v>
                </c:pt>
                <c:pt idx="25">
                  <c:v>1032</c:v>
                </c:pt>
                <c:pt idx="26">
                  <c:v>1725.9</c:v>
                </c:pt>
                <c:pt idx="27">
                  <c:v>1678.9</c:v>
                </c:pt>
                <c:pt idx="28">
                  <c:v>715.1</c:v>
                </c:pt>
                <c:pt idx="29">
                  <c:v>1369.1</c:v>
                </c:pt>
                <c:pt idx="30">
                  <c:v>1571.5</c:v>
                </c:pt>
                <c:pt idx="31">
                  <c:v>1121.0999999999999</c:v>
                </c:pt>
                <c:pt idx="32">
                  <c:v>1182.7</c:v>
                </c:pt>
                <c:pt idx="33">
                  <c:v>1014.6</c:v>
                </c:pt>
                <c:pt idx="34">
                  <c:v>797.8</c:v>
                </c:pt>
                <c:pt idx="35">
                  <c:v>810.2</c:v>
                </c:pt>
                <c:pt idx="36">
                  <c:v>2485.8000000000002</c:v>
                </c:pt>
              </c:numCache>
            </c:numRef>
          </c:xVal>
          <c:yVal>
            <c:numRef>
              <c:f>'Tex86_0-2cm'!$AS$5:$AS$41</c:f>
              <c:numCache>
                <c:formatCode>General</c:formatCode>
                <c:ptCount val="37"/>
                <c:pt idx="0">
                  <c:v>8.7345284995327566E-2</c:v>
                </c:pt>
                <c:pt idx="1">
                  <c:v>4.8228700920598833E-2</c:v>
                </c:pt>
                <c:pt idx="2">
                  <c:v>0.11013627603666454</c:v>
                </c:pt>
                <c:pt idx="3">
                  <c:v>0.12396175348642291</c:v>
                </c:pt>
                <c:pt idx="4">
                  <c:v>0.10892914361363881</c:v>
                </c:pt>
                <c:pt idx="5">
                  <c:v>0.13830473394163212</c:v>
                </c:pt>
                <c:pt idx="6">
                  <c:v>0.10332649105785807</c:v>
                </c:pt>
                <c:pt idx="7">
                  <c:v>9.6330017094891862E-2</c:v>
                </c:pt>
                <c:pt idx="8">
                  <c:v>0.14176011358142893</c:v>
                </c:pt>
                <c:pt idx="9">
                  <c:v>0.20612056450343386</c:v>
                </c:pt>
                <c:pt idx="10">
                  <c:v>8.0739822240784909E-2</c:v>
                </c:pt>
                <c:pt idx="11">
                  <c:v>8.2368589216605059E-2</c:v>
                </c:pt>
                <c:pt idx="12">
                  <c:v>0.18788714815159824</c:v>
                </c:pt>
                <c:pt idx="13">
                  <c:v>0.15829704298112945</c:v>
                </c:pt>
                <c:pt idx="14">
                  <c:v>0.10907076853497366</c:v>
                </c:pt>
                <c:pt idx="15">
                  <c:v>4.4624056883676655E-2</c:v>
                </c:pt>
                <c:pt idx="16">
                  <c:v>0.12739937449359862</c:v>
                </c:pt>
                <c:pt idx="17">
                  <c:v>4.8139738342388272E-2</c:v>
                </c:pt>
                <c:pt idx="18">
                  <c:v>4.5488793559018692E-2</c:v>
                </c:pt>
                <c:pt idx="19">
                  <c:v>5.1602762462755081E-2</c:v>
                </c:pt>
                <c:pt idx="20">
                  <c:v>5.1855292468838465E-2</c:v>
                </c:pt>
                <c:pt idx="21">
                  <c:v>9.3564469400020833E-2</c:v>
                </c:pt>
                <c:pt idx="22">
                  <c:v>0.16035757015937047</c:v>
                </c:pt>
                <c:pt idx="23">
                  <c:v>8.6886231545210024E-2</c:v>
                </c:pt>
                <c:pt idx="24">
                  <c:v>0.13708160467441766</c:v>
                </c:pt>
                <c:pt idx="25">
                  <c:v>8.8829960987731882E-2</c:v>
                </c:pt>
                <c:pt idx="26">
                  <c:v>8.3817657989140981E-2</c:v>
                </c:pt>
                <c:pt idx="27">
                  <c:v>9.6329588946431954E-2</c:v>
                </c:pt>
                <c:pt idx="28">
                  <c:v>0.19778103006736469</c:v>
                </c:pt>
                <c:pt idx="29">
                  <c:v>8.5061781111985812E-2</c:v>
                </c:pt>
                <c:pt idx="30">
                  <c:v>9.5578868550537877E-2</c:v>
                </c:pt>
                <c:pt idx="31">
                  <c:v>0.15601469733153916</c:v>
                </c:pt>
                <c:pt idx="32">
                  <c:v>0.1135016006294437</c:v>
                </c:pt>
                <c:pt idx="33">
                  <c:v>0.1040746038335465</c:v>
                </c:pt>
                <c:pt idx="34">
                  <c:v>0.11750029152701069</c:v>
                </c:pt>
                <c:pt idx="35">
                  <c:v>7.9758645315547994E-2</c:v>
                </c:pt>
                <c:pt idx="36">
                  <c:v>0.12171302723060085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3C-854D-B580-DE56657E2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233007"/>
        <c:axId val="2142845375"/>
      </c:scatterChart>
      <c:valAx>
        <c:axId val="188523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845375"/>
        <c:crossesAt val="1E-3"/>
        <c:crossBetween val="midCat"/>
      </c:valAx>
      <c:valAx>
        <c:axId val="214284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233007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SST</a:t>
            </a:r>
            <a:r>
              <a:rPr lang="en-US" baseline="0"/>
              <a:t>s vs. JFM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17939632545932"/>
                  <c:y val="8.84259259259259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'Uk37_0-2cm'!$I$5:$I$41</c:f>
              <c:numCache>
                <c:formatCode>General</c:formatCode>
                <c:ptCount val="37"/>
                <c:pt idx="0">
                  <c:v>29.636598176768103</c:v>
                </c:pt>
                <c:pt idx="1">
                  <c:v>28.953866742642347</c:v>
                </c:pt>
                <c:pt idx="2">
                  <c:v>29.419726190063351</c:v>
                </c:pt>
                <c:pt idx="3">
                  <c:v>28.17310465972735</c:v>
                </c:pt>
                <c:pt idx="4">
                  <c:v>29.300763192230498</c:v>
                </c:pt>
                <c:pt idx="5">
                  <c:v>28.918404602019098</c:v>
                </c:pt>
                <c:pt idx="6">
                  <c:v>28.918359018970449</c:v>
                </c:pt>
                <c:pt idx="7">
                  <c:v>28.803253243363052</c:v>
                </c:pt>
                <c:pt idx="8">
                  <c:v>29.102497050760299</c:v>
                </c:pt>
                <c:pt idx="9">
                  <c:v>29.044931542377402</c:v>
                </c:pt>
                <c:pt idx="10">
                  <c:v>28.5561415447077</c:v>
                </c:pt>
                <c:pt idx="11">
                  <c:v>28.389329606868948</c:v>
                </c:pt>
                <c:pt idx="12">
                  <c:v>28.2878767676915</c:v>
                </c:pt>
                <c:pt idx="13">
                  <c:v>28.698605589091901</c:v>
                </c:pt>
                <c:pt idx="14">
                  <c:v>28.861315892207948</c:v>
                </c:pt>
                <c:pt idx="15">
                  <c:v>29.208447496996602</c:v>
                </c:pt>
                <c:pt idx="16">
                  <c:v>27.826848159756199</c:v>
                </c:pt>
                <c:pt idx="17">
                  <c:v>28.305739109107002</c:v>
                </c:pt>
                <c:pt idx="18">
                  <c:v>27.0743680615149</c:v>
                </c:pt>
                <c:pt idx="19">
                  <c:v>28.283778882002601</c:v>
                </c:pt>
                <c:pt idx="20">
                  <c:v>27.648499541882099</c:v>
                </c:pt>
                <c:pt idx="21">
                  <c:v>27.9711115979262</c:v>
                </c:pt>
                <c:pt idx="22">
                  <c:v>27.0693771985399</c:v>
                </c:pt>
                <c:pt idx="23">
                  <c:v>26.254882370124001</c:v>
                </c:pt>
                <c:pt idx="24">
                  <c:v>26.007701095117699</c:v>
                </c:pt>
                <c:pt idx="25">
                  <c:v>25.076201105501401</c:v>
                </c:pt>
                <c:pt idx="26">
                  <c:v>25.390004332590401</c:v>
                </c:pt>
                <c:pt idx="27">
                  <c:v>24.256689060837999</c:v>
                </c:pt>
                <c:pt idx="28">
                  <c:v>24.876310785230999</c:v>
                </c:pt>
                <c:pt idx="29">
                  <c:v>24.832114704276002</c:v>
                </c:pt>
                <c:pt idx="30">
                  <c:v>24.1760244052271</c:v>
                </c:pt>
                <c:pt idx="31">
                  <c:v>24.092489536094199</c:v>
                </c:pt>
                <c:pt idx="32">
                  <c:v>24.0729309429857</c:v>
                </c:pt>
                <c:pt idx="33">
                  <c:v>24.4144739933853</c:v>
                </c:pt>
                <c:pt idx="34">
                  <c:v>24.361543026747899</c:v>
                </c:pt>
                <c:pt idx="35">
                  <c:v>26.1546381888772</c:v>
                </c:pt>
                <c:pt idx="36">
                  <c:v>24.721548659526501</c:v>
                </c:pt>
              </c:numCache>
            </c:numRef>
          </c:xVal>
          <c:yVal>
            <c:numRef>
              <c:f>'Uk37_0-2cm'!$M$5:$M$41</c:f>
              <c:numCache>
                <c:formatCode>General</c:formatCode>
                <c:ptCount val="37"/>
                <c:pt idx="0">
                  <c:v>29.243704000000001</c:v>
                </c:pt>
                <c:pt idx="1">
                  <c:v>29.235814999999999</c:v>
                </c:pt>
                <c:pt idx="2">
                  <c:v>29.158068</c:v>
                </c:pt>
                <c:pt idx="3">
                  <c:v>29.172394000000001</c:v>
                </c:pt>
                <c:pt idx="4">
                  <c:v>29.017900000000001</c:v>
                </c:pt>
                <c:pt idx="5">
                  <c:v>28.847807</c:v>
                </c:pt>
                <c:pt idx="6">
                  <c:v>28.903597000000001</c:v>
                </c:pt>
                <c:pt idx="7">
                  <c:v>28.922516000000002</c:v>
                </c:pt>
                <c:pt idx="8">
                  <c:v>28.8413</c:v>
                </c:pt>
                <c:pt idx="9">
                  <c:v>28.853646999999999</c:v>
                </c:pt>
                <c:pt idx="10">
                  <c:v>28.520734999999998</c:v>
                </c:pt>
                <c:pt idx="11">
                  <c:v>28.546800000000001</c:v>
                </c:pt>
                <c:pt idx="12">
                  <c:v>28.395085999999999</c:v>
                </c:pt>
                <c:pt idx="13">
                  <c:v>28.444984000000002</c:v>
                </c:pt>
                <c:pt idx="14">
                  <c:v>28.201332000000001</c:v>
                </c:pt>
                <c:pt idx="15">
                  <c:v>28.065935</c:v>
                </c:pt>
                <c:pt idx="16">
                  <c:v>28.027315000000002</c:v>
                </c:pt>
                <c:pt idx="17">
                  <c:v>28.096547999999999</c:v>
                </c:pt>
                <c:pt idx="18">
                  <c:v>27.999480999999999</c:v>
                </c:pt>
                <c:pt idx="19">
                  <c:v>27.819566999999999</c:v>
                </c:pt>
                <c:pt idx="20">
                  <c:v>27.654160999999998</c:v>
                </c:pt>
                <c:pt idx="21">
                  <c:v>26.834534000000001</c:v>
                </c:pt>
                <c:pt idx="22">
                  <c:v>26.871834</c:v>
                </c:pt>
                <c:pt idx="23">
                  <c:v>26.574172999999998</c:v>
                </c:pt>
                <c:pt idx="24">
                  <c:v>25.307784999999999</c:v>
                </c:pt>
                <c:pt idx="25">
                  <c:v>25.291899999999998</c:v>
                </c:pt>
                <c:pt idx="26">
                  <c:v>25.187078</c:v>
                </c:pt>
                <c:pt idx="27">
                  <c:v>24.585049999999999</c:v>
                </c:pt>
                <c:pt idx="28">
                  <c:v>24.805016999999999</c:v>
                </c:pt>
                <c:pt idx="29">
                  <c:v>24.904914999999999</c:v>
                </c:pt>
                <c:pt idx="30">
                  <c:v>24.392088000000001</c:v>
                </c:pt>
                <c:pt idx="31">
                  <c:v>23.599867</c:v>
                </c:pt>
                <c:pt idx="32">
                  <c:v>23.753036000000002</c:v>
                </c:pt>
                <c:pt idx="33">
                  <c:v>23.526700999999999</c:v>
                </c:pt>
                <c:pt idx="34">
                  <c:v>23.558716</c:v>
                </c:pt>
                <c:pt idx="35">
                  <c:v>23.425932</c:v>
                </c:pt>
                <c:pt idx="36">
                  <c:v>23.116952999999999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46-A649-8531-4F08B06CC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630479"/>
        <c:axId val="1868585679"/>
      </c:scatterChart>
      <c:valAx>
        <c:axId val="227630479"/>
        <c:scaling>
          <c:orientation val="minMax"/>
          <c:min val="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585679"/>
        <c:crosses val="autoZero"/>
        <c:crossBetween val="midCat"/>
      </c:valAx>
      <c:valAx>
        <c:axId val="1868585679"/>
        <c:scaling>
          <c:orientation val="minMax"/>
          <c:min val="2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63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SST</a:t>
            </a:r>
            <a:r>
              <a:rPr lang="en-US" baseline="0"/>
              <a:t>s vs. annual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17939632545932"/>
                  <c:y val="8.84259259259259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'Uk37_0-2cm'!$I$5:$I$41</c:f>
              <c:numCache>
                <c:formatCode>General</c:formatCode>
                <c:ptCount val="37"/>
                <c:pt idx="0">
                  <c:v>29.636598176768103</c:v>
                </c:pt>
                <c:pt idx="1">
                  <c:v>28.953866742642347</c:v>
                </c:pt>
                <c:pt idx="2">
                  <c:v>29.419726190063351</c:v>
                </c:pt>
                <c:pt idx="3">
                  <c:v>28.17310465972735</c:v>
                </c:pt>
                <c:pt idx="4">
                  <c:v>29.300763192230498</c:v>
                </c:pt>
                <c:pt idx="5">
                  <c:v>28.918404602019098</c:v>
                </c:pt>
                <c:pt idx="6">
                  <c:v>28.918359018970449</c:v>
                </c:pt>
                <c:pt idx="7">
                  <c:v>28.803253243363052</c:v>
                </c:pt>
                <c:pt idx="8">
                  <c:v>29.102497050760299</c:v>
                </c:pt>
                <c:pt idx="9">
                  <c:v>29.044931542377402</c:v>
                </c:pt>
                <c:pt idx="10">
                  <c:v>28.5561415447077</c:v>
                </c:pt>
                <c:pt idx="11">
                  <c:v>28.389329606868948</c:v>
                </c:pt>
                <c:pt idx="12">
                  <c:v>28.2878767676915</c:v>
                </c:pt>
                <c:pt idx="13">
                  <c:v>28.698605589091901</c:v>
                </c:pt>
                <c:pt idx="14">
                  <c:v>28.861315892207948</c:v>
                </c:pt>
                <c:pt idx="15">
                  <c:v>29.208447496996602</c:v>
                </c:pt>
                <c:pt idx="16">
                  <c:v>27.826848159756199</c:v>
                </c:pt>
                <c:pt idx="17">
                  <c:v>28.305739109107002</c:v>
                </c:pt>
                <c:pt idx="18">
                  <c:v>27.0743680615149</c:v>
                </c:pt>
                <c:pt idx="19">
                  <c:v>28.283778882002601</c:v>
                </c:pt>
                <c:pt idx="20">
                  <c:v>27.648499541882099</c:v>
                </c:pt>
                <c:pt idx="21">
                  <c:v>27.9711115979262</c:v>
                </c:pt>
                <c:pt idx="22">
                  <c:v>27.0693771985399</c:v>
                </c:pt>
                <c:pt idx="23">
                  <c:v>26.254882370124001</c:v>
                </c:pt>
                <c:pt idx="24">
                  <c:v>26.007701095117699</c:v>
                </c:pt>
                <c:pt idx="25">
                  <c:v>25.076201105501401</c:v>
                </c:pt>
                <c:pt idx="26">
                  <c:v>25.390004332590401</c:v>
                </c:pt>
                <c:pt idx="27">
                  <c:v>24.256689060837999</c:v>
                </c:pt>
                <c:pt idx="28">
                  <c:v>24.876310785230999</c:v>
                </c:pt>
                <c:pt idx="29">
                  <c:v>24.832114704276002</c:v>
                </c:pt>
                <c:pt idx="30">
                  <c:v>24.1760244052271</c:v>
                </c:pt>
                <c:pt idx="31">
                  <c:v>24.092489536094199</c:v>
                </c:pt>
                <c:pt idx="32">
                  <c:v>24.0729309429857</c:v>
                </c:pt>
                <c:pt idx="33">
                  <c:v>24.4144739933853</c:v>
                </c:pt>
                <c:pt idx="34">
                  <c:v>24.361543026747899</c:v>
                </c:pt>
                <c:pt idx="35">
                  <c:v>26.1546381888772</c:v>
                </c:pt>
                <c:pt idx="36">
                  <c:v>24.721548659526501</c:v>
                </c:pt>
              </c:numCache>
            </c:numRef>
          </c:xVal>
          <c:yVal>
            <c:numRef>
              <c:f>'Uk37_0-2cm'!$L$5:$L$41</c:f>
              <c:numCache>
                <c:formatCode>General</c:formatCode>
                <c:ptCount val="37"/>
                <c:pt idx="0">
                  <c:v>28.225881999999999</c:v>
                </c:pt>
                <c:pt idx="1">
                  <c:v>28.044350000000001</c:v>
                </c:pt>
                <c:pt idx="2">
                  <c:v>27.720236</c:v>
                </c:pt>
                <c:pt idx="3">
                  <c:v>27.527097999999999</c:v>
                </c:pt>
                <c:pt idx="4">
                  <c:v>27.402266999999998</c:v>
                </c:pt>
                <c:pt idx="5">
                  <c:v>27.187714</c:v>
                </c:pt>
                <c:pt idx="6">
                  <c:v>27.09817</c:v>
                </c:pt>
                <c:pt idx="7">
                  <c:v>27.17896</c:v>
                </c:pt>
                <c:pt idx="8">
                  <c:v>27.420598999999999</c:v>
                </c:pt>
                <c:pt idx="9">
                  <c:v>27.302599000000001</c:v>
                </c:pt>
                <c:pt idx="10">
                  <c:v>26.916954</c:v>
                </c:pt>
                <c:pt idx="11">
                  <c:v>26.98049</c:v>
                </c:pt>
                <c:pt idx="12">
                  <c:v>26.578130000000002</c:v>
                </c:pt>
                <c:pt idx="13">
                  <c:v>26.692001000000001</c:v>
                </c:pt>
                <c:pt idx="14">
                  <c:v>26.442345</c:v>
                </c:pt>
                <c:pt idx="15">
                  <c:v>26.027930999999999</c:v>
                </c:pt>
                <c:pt idx="16">
                  <c:v>26.138013999999998</c:v>
                </c:pt>
                <c:pt idx="17">
                  <c:v>26.270775</c:v>
                </c:pt>
                <c:pt idx="18">
                  <c:v>26.157063999999998</c:v>
                </c:pt>
                <c:pt idx="19">
                  <c:v>25.898916</c:v>
                </c:pt>
                <c:pt idx="20">
                  <c:v>25.790619</c:v>
                </c:pt>
                <c:pt idx="21">
                  <c:v>25.078882</c:v>
                </c:pt>
                <c:pt idx="22">
                  <c:v>25.101096999999999</c:v>
                </c:pt>
                <c:pt idx="23">
                  <c:v>24.818114999999999</c:v>
                </c:pt>
                <c:pt idx="24">
                  <c:v>23.888487000000001</c:v>
                </c:pt>
                <c:pt idx="25">
                  <c:v>23.845445999999999</c:v>
                </c:pt>
                <c:pt idx="26">
                  <c:v>23.723130999999999</c:v>
                </c:pt>
                <c:pt idx="27">
                  <c:v>23.041371999999999</c:v>
                </c:pt>
                <c:pt idx="28">
                  <c:v>23.422713999999999</c:v>
                </c:pt>
                <c:pt idx="29">
                  <c:v>23.40541</c:v>
                </c:pt>
                <c:pt idx="30">
                  <c:v>22.897448000000001</c:v>
                </c:pt>
                <c:pt idx="31">
                  <c:v>22.307167</c:v>
                </c:pt>
                <c:pt idx="32">
                  <c:v>22.46808</c:v>
                </c:pt>
                <c:pt idx="33">
                  <c:v>22.253112999999999</c:v>
                </c:pt>
                <c:pt idx="34">
                  <c:v>22.318650000000002</c:v>
                </c:pt>
                <c:pt idx="35">
                  <c:v>22.215532</c:v>
                </c:pt>
                <c:pt idx="36">
                  <c:v>21.861333999999999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12-6B42-9538-93903E45B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630479"/>
        <c:axId val="1868585679"/>
      </c:scatterChart>
      <c:valAx>
        <c:axId val="227630479"/>
        <c:scaling>
          <c:orientation val="minMax"/>
          <c:min val="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585679"/>
        <c:crosses val="autoZero"/>
        <c:crossBetween val="midCat"/>
      </c:valAx>
      <c:valAx>
        <c:axId val="1868585679"/>
        <c:scaling>
          <c:orientation val="minMax"/>
          <c:min val="2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63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SST</a:t>
            </a:r>
            <a:r>
              <a:rPr lang="en-US" baseline="0"/>
              <a:t>s vs. JFM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17939632545932"/>
                  <c:y val="8.84259259259259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'Uk37_0-2cm'!$I$48:$I$84</c:f>
              <c:numCache>
                <c:formatCode>General</c:formatCode>
                <c:ptCount val="37"/>
                <c:pt idx="0">
                  <c:v>29.948080552460102</c:v>
                </c:pt>
                <c:pt idx="1">
                  <c:v>29.165446908123599</c:v>
                </c:pt>
                <c:pt idx="2">
                  <c:v>29.3655108680754</c:v>
                </c:pt>
                <c:pt idx="3">
                  <c:v>29.114845533768701</c:v>
                </c:pt>
                <c:pt idx="4">
                  <c:v>29.412206786830001</c:v>
                </c:pt>
                <c:pt idx="5">
                  <c:v>28.918404602019098</c:v>
                </c:pt>
                <c:pt idx="6">
                  <c:v>29.299421597148001</c:v>
                </c:pt>
                <c:pt idx="7">
                  <c:v>29.055872684674199</c:v>
                </c:pt>
                <c:pt idx="8">
                  <c:v>29.102497050760299</c:v>
                </c:pt>
                <c:pt idx="9">
                  <c:v>29.044931542377402</c:v>
                </c:pt>
                <c:pt idx="10">
                  <c:v>28.053957738194899</c:v>
                </c:pt>
                <c:pt idx="11">
                  <c:v>28.260296540064999</c:v>
                </c:pt>
                <c:pt idx="12">
                  <c:v>28.2878767676915</c:v>
                </c:pt>
                <c:pt idx="13">
                  <c:v>28.698605589091901</c:v>
                </c:pt>
                <c:pt idx="14">
                  <c:v>28.762638915540901</c:v>
                </c:pt>
                <c:pt idx="15">
                  <c:v>29.208447496996602</c:v>
                </c:pt>
                <c:pt idx="16">
                  <c:v>27.826848159756199</c:v>
                </c:pt>
                <c:pt idx="17">
                  <c:v>28.305739109107002</c:v>
                </c:pt>
                <c:pt idx="18">
                  <c:v>27.0743680615149</c:v>
                </c:pt>
                <c:pt idx="19">
                  <c:v>28.283778882002601</c:v>
                </c:pt>
                <c:pt idx="20">
                  <c:v>27.648499541882099</c:v>
                </c:pt>
                <c:pt idx="21">
                  <c:v>27.9711115979262</c:v>
                </c:pt>
                <c:pt idx="22">
                  <c:v>27.0693771985399</c:v>
                </c:pt>
                <c:pt idx="23">
                  <c:v>26.254882370124001</c:v>
                </c:pt>
                <c:pt idx="24">
                  <c:v>26.007701095117699</c:v>
                </c:pt>
                <c:pt idx="25">
                  <c:v>25.076201105501401</c:v>
                </c:pt>
                <c:pt idx="26">
                  <c:v>25.390004332590401</c:v>
                </c:pt>
                <c:pt idx="27">
                  <c:v>24.256689060837999</c:v>
                </c:pt>
                <c:pt idx="28">
                  <c:v>24.876310785230999</c:v>
                </c:pt>
                <c:pt idx="29">
                  <c:v>24.832114704276002</c:v>
                </c:pt>
                <c:pt idx="30">
                  <c:v>24.1760244052271</c:v>
                </c:pt>
                <c:pt idx="31">
                  <c:v>24.092489536094199</c:v>
                </c:pt>
                <c:pt idx="32">
                  <c:v>24.0729309429857</c:v>
                </c:pt>
                <c:pt idx="33">
                  <c:v>24.4144739933853</c:v>
                </c:pt>
                <c:pt idx="34">
                  <c:v>24.361543026747899</c:v>
                </c:pt>
                <c:pt idx="35">
                  <c:v>26.1546381888772</c:v>
                </c:pt>
                <c:pt idx="36">
                  <c:v>24.721548659526501</c:v>
                </c:pt>
              </c:numCache>
            </c:numRef>
          </c:xVal>
          <c:yVal>
            <c:numRef>
              <c:f>'Uk37_0-2cm'!$M$5:$M$41</c:f>
              <c:numCache>
                <c:formatCode>General</c:formatCode>
                <c:ptCount val="37"/>
                <c:pt idx="0">
                  <c:v>29.243704000000001</c:v>
                </c:pt>
                <c:pt idx="1">
                  <c:v>29.235814999999999</c:v>
                </c:pt>
                <c:pt idx="2">
                  <c:v>29.158068</c:v>
                </c:pt>
                <c:pt idx="3">
                  <c:v>29.172394000000001</c:v>
                </c:pt>
                <c:pt idx="4">
                  <c:v>29.017900000000001</c:v>
                </c:pt>
                <c:pt idx="5">
                  <c:v>28.847807</c:v>
                </c:pt>
                <c:pt idx="6">
                  <c:v>28.903597000000001</c:v>
                </c:pt>
                <c:pt idx="7">
                  <c:v>28.922516000000002</c:v>
                </c:pt>
                <c:pt idx="8">
                  <c:v>28.8413</c:v>
                </c:pt>
                <c:pt idx="9">
                  <c:v>28.853646999999999</c:v>
                </c:pt>
                <c:pt idx="10">
                  <c:v>28.520734999999998</c:v>
                </c:pt>
                <c:pt idx="11">
                  <c:v>28.546800000000001</c:v>
                </c:pt>
                <c:pt idx="12">
                  <c:v>28.395085999999999</c:v>
                </c:pt>
                <c:pt idx="13">
                  <c:v>28.444984000000002</c:v>
                </c:pt>
                <c:pt idx="14">
                  <c:v>28.201332000000001</c:v>
                </c:pt>
                <c:pt idx="15">
                  <c:v>28.065935</c:v>
                </c:pt>
                <c:pt idx="16">
                  <c:v>28.027315000000002</c:v>
                </c:pt>
                <c:pt idx="17">
                  <c:v>28.096547999999999</c:v>
                </c:pt>
                <c:pt idx="18">
                  <c:v>27.999480999999999</c:v>
                </c:pt>
                <c:pt idx="19">
                  <c:v>27.819566999999999</c:v>
                </c:pt>
                <c:pt idx="20">
                  <c:v>27.654160999999998</c:v>
                </c:pt>
                <c:pt idx="21">
                  <c:v>26.834534000000001</c:v>
                </c:pt>
                <c:pt idx="22">
                  <c:v>26.871834</c:v>
                </c:pt>
                <c:pt idx="23">
                  <c:v>26.574172999999998</c:v>
                </c:pt>
                <c:pt idx="24">
                  <c:v>25.307784999999999</c:v>
                </c:pt>
                <c:pt idx="25">
                  <c:v>25.291899999999998</c:v>
                </c:pt>
                <c:pt idx="26">
                  <c:v>25.187078</c:v>
                </c:pt>
                <c:pt idx="27">
                  <c:v>24.585049999999999</c:v>
                </c:pt>
                <c:pt idx="28">
                  <c:v>24.805016999999999</c:v>
                </c:pt>
                <c:pt idx="29">
                  <c:v>24.904914999999999</c:v>
                </c:pt>
                <c:pt idx="30">
                  <c:v>24.392088000000001</c:v>
                </c:pt>
                <c:pt idx="31">
                  <c:v>23.599867</c:v>
                </c:pt>
                <c:pt idx="32">
                  <c:v>23.753036000000002</c:v>
                </c:pt>
                <c:pt idx="33">
                  <c:v>23.526700999999999</c:v>
                </c:pt>
                <c:pt idx="34">
                  <c:v>23.558716</c:v>
                </c:pt>
                <c:pt idx="35">
                  <c:v>23.425932</c:v>
                </c:pt>
                <c:pt idx="36">
                  <c:v>23.116952999999999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37-D64B-877D-2B4FBDD7A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630479"/>
        <c:axId val="1868585679"/>
      </c:scatterChart>
      <c:valAx>
        <c:axId val="227630479"/>
        <c:scaling>
          <c:orientation val="minMax"/>
          <c:min val="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585679"/>
        <c:crosses val="autoZero"/>
        <c:crossBetween val="midCat"/>
      </c:valAx>
      <c:valAx>
        <c:axId val="1868585679"/>
        <c:scaling>
          <c:orientation val="minMax"/>
          <c:min val="2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63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SST</a:t>
            </a:r>
            <a:r>
              <a:rPr lang="en-US" baseline="0"/>
              <a:t>s vs. annual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17939632545932"/>
                  <c:y val="8.84259259259259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'Uk37_0-2cm'!$I$48:$I$84</c:f>
              <c:numCache>
                <c:formatCode>General</c:formatCode>
                <c:ptCount val="37"/>
                <c:pt idx="0">
                  <c:v>29.948080552460102</c:v>
                </c:pt>
                <c:pt idx="1">
                  <c:v>29.165446908123599</c:v>
                </c:pt>
                <c:pt idx="2">
                  <c:v>29.3655108680754</c:v>
                </c:pt>
                <c:pt idx="3">
                  <c:v>29.114845533768701</c:v>
                </c:pt>
                <c:pt idx="4">
                  <c:v>29.412206786830001</c:v>
                </c:pt>
                <c:pt idx="5">
                  <c:v>28.918404602019098</c:v>
                </c:pt>
                <c:pt idx="6">
                  <c:v>29.299421597148001</c:v>
                </c:pt>
                <c:pt idx="7">
                  <c:v>29.055872684674199</c:v>
                </c:pt>
                <c:pt idx="8">
                  <c:v>29.102497050760299</c:v>
                </c:pt>
                <c:pt idx="9">
                  <c:v>29.044931542377402</c:v>
                </c:pt>
                <c:pt idx="10">
                  <c:v>28.053957738194899</c:v>
                </c:pt>
                <c:pt idx="11">
                  <c:v>28.260296540064999</c:v>
                </c:pt>
                <c:pt idx="12">
                  <c:v>28.2878767676915</c:v>
                </c:pt>
                <c:pt idx="13">
                  <c:v>28.698605589091901</c:v>
                </c:pt>
                <c:pt idx="14">
                  <c:v>28.762638915540901</c:v>
                </c:pt>
                <c:pt idx="15">
                  <c:v>29.208447496996602</c:v>
                </c:pt>
                <c:pt idx="16">
                  <c:v>27.826848159756199</c:v>
                </c:pt>
                <c:pt idx="17">
                  <c:v>28.305739109107002</c:v>
                </c:pt>
                <c:pt idx="18">
                  <c:v>27.0743680615149</c:v>
                </c:pt>
                <c:pt idx="19">
                  <c:v>28.283778882002601</c:v>
                </c:pt>
                <c:pt idx="20">
                  <c:v>27.648499541882099</c:v>
                </c:pt>
                <c:pt idx="21">
                  <c:v>27.9711115979262</c:v>
                </c:pt>
                <c:pt idx="22">
                  <c:v>27.0693771985399</c:v>
                </c:pt>
                <c:pt idx="23">
                  <c:v>26.254882370124001</c:v>
                </c:pt>
                <c:pt idx="24">
                  <c:v>26.007701095117699</c:v>
                </c:pt>
                <c:pt idx="25">
                  <c:v>25.076201105501401</c:v>
                </c:pt>
                <c:pt idx="26">
                  <c:v>25.390004332590401</c:v>
                </c:pt>
                <c:pt idx="27">
                  <c:v>24.256689060837999</c:v>
                </c:pt>
                <c:pt idx="28">
                  <c:v>24.876310785230999</c:v>
                </c:pt>
                <c:pt idx="29">
                  <c:v>24.832114704276002</c:v>
                </c:pt>
                <c:pt idx="30">
                  <c:v>24.1760244052271</c:v>
                </c:pt>
                <c:pt idx="31">
                  <c:v>24.092489536094199</c:v>
                </c:pt>
                <c:pt idx="32">
                  <c:v>24.0729309429857</c:v>
                </c:pt>
                <c:pt idx="33">
                  <c:v>24.4144739933853</c:v>
                </c:pt>
                <c:pt idx="34">
                  <c:v>24.361543026747899</c:v>
                </c:pt>
                <c:pt idx="35">
                  <c:v>26.1546381888772</c:v>
                </c:pt>
                <c:pt idx="36">
                  <c:v>24.721548659526501</c:v>
                </c:pt>
              </c:numCache>
            </c:numRef>
          </c:xVal>
          <c:yVal>
            <c:numRef>
              <c:f>'Uk37_0-2cm'!$L$5:$L$41</c:f>
              <c:numCache>
                <c:formatCode>General</c:formatCode>
                <c:ptCount val="37"/>
                <c:pt idx="0">
                  <c:v>28.225881999999999</c:v>
                </c:pt>
                <c:pt idx="1">
                  <c:v>28.044350000000001</c:v>
                </c:pt>
                <c:pt idx="2">
                  <c:v>27.720236</c:v>
                </c:pt>
                <c:pt idx="3">
                  <c:v>27.527097999999999</c:v>
                </c:pt>
                <c:pt idx="4">
                  <c:v>27.402266999999998</c:v>
                </c:pt>
                <c:pt idx="5">
                  <c:v>27.187714</c:v>
                </c:pt>
                <c:pt idx="6">
                  <c:v>27.09817</c:v>
                </c:pt>
                <c:pt idx="7">
                  <c:v>27.17896</c:v>
                </c:pt>
                <c:pt idx="8">
                  <c:v>27.420598999999999</c:v>
                </c:pt>
                <c:pt idx="9">
                  <c:v>27.302599000000001</c:v>
                </c:pt>
                <c:pt idx="10">
                  <c:v>26.916954</c:v>
                </c:pt>
                <c:pt idx="11">
                  <c:v>26.98049</c:v>
                </c:pt>
                <c:pt idx="12">
                  <c:v>26.578130000000002</c:v>
                </c:pt>
                <c:pt idx="13">
                  <c:v>26.692001000000001</c:v>
                </c:pt>
                <c:pt idx="14">
                  <c:v>26.442345</c:v>
                </c:pt>
                <c:pt idx="15">
                  <c:v>26.027930999999999</c:v>
                </c:pt>
                <c:pt idx="16">
                  <c:v>26.138013999999998</c:v>
                </c:pt>
                <c:pt idx="17">
                  <c:v>26.270775</c:v>
                </c:pt>
                <c:pt idx="18">
                  <c:v>26.157063999999998</c:v>
                </c:pt>
                <c:pt idx="19">
                  <c:v>25.898916</c:v>
                </c:pt>
                <c:pt idx="20">
                  <c:v>25.790619</c:v>
                </c:pt>
                <c:pt idx="21">
                  <c:v>25.078882</c:v>
                </c:pt>
                <c:pt idx="22">
                  <c:v>25.101096999999999</c:v>
                </c:pt>
                <c:pt idx="23">
                  <c:v>24.818114999999999</c:v>
                </c:pt>
                <c:pt idx="24">
                  <c:v>23.888487000000001</c:v>
                </c:pt>
                <c:pt idx="25">
                  <c:v>23.845445999999999</c:v>
                </c:pt>
                <c:pt idx="26">
                  <c:v>23.723130999999999</c:v>
                </c:pt>
                <c:pt idx="27">
                  <c:v>23.041371999999999</c:v>
                </c:pt>
                <c:pt idx="28">
                  <c:v>23.422713999999999</c:v>
                </c:pt>
                <c:pt idx="29">
                  <c:v>23.40541</c:v>
                </c:pt>
                <c:pt idx="30">
                  <c:v>22.897448000000001</c:v>
                </c:pt>
                <c:pt idx="31">
                  <c:v>22.307167</c:v>
                </c:pt>
                <c:pt idx="32">
                  <c:v>22.46808</c:v>
                </c:pt>
                <c:pt idx="33">
                  <c:v>22.253112999999999</c:v>
                </c:pt>
                <c:pt idx="34">
                  <c:v>22.318650000000002</c:v>
                </c:pt>
                <c:pt idx="35">
                  <c:v>22.215532</c:v>
                </c:pt>
                <c:pt idx="36">
                  <c:v>21.861333999999999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F3-3C47-A46E-16C9F38AD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630479"/>
        <c:axId val="1868585679"/>
      </c:scatterChart>
      <c:valAx>
        <c:axId val="227630479"/>
        <c:scaling>
          <c:orientation val="minMax"/>
          <c:min val="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585679"/>
        <c:crosses val="autoZero"/>
        <c:crossBetween val="midCat"/>
      </c:valAx>
      <c:valAx>
        <c:axId val="1868585679"/>
        <c:scaling>
          <c:orientation val="minMax"/>
          <c:min val="2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63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SST</a:t>
            </a:r>
            <a:r>
              <a:rPr lang="en-US" baseline="0"/>
              <a:t>s vs. Lat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17939632545932"/>
                  <c:y val="8.84259259259259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'Uk37_0-2cm'!$I$5:$I$41</c:f>
              <c:numCache>
                <c:formatCode>General</c:formatCode>
                <c:ptCount val="37"/>
                <c:pt idx="0">
                  <c:v>29.636598176768103</c:v>
                </c:pt>
                <c:pt idx="1">
                  <c:v>28.953866742642347</c:v>
                </c:pt>
                <c:pt idx="2">
                  <c:v>29.419726190063351</c:v>
                </c:pt>
                <c:pt idx="3">
                  <c:v>28.17310465972735</c:v>
                </c:pt>
                <c:pt idx="4">
                  <c:v>29.300763192230498</c:v>
                </c:pt>
                <c:pt idx="5">
                  <c:v>28.918404602019098</c:v>
                </c:pt>
                <c:pt idx="6">
                  <c:v>28.918359018970449</c:v>
                </c:pt>
                <c:pt idx="7">
                  <c:v>28.803253243363052</c:v>
                </c:pt>
                <c:pt idx="8">
                  <c:v>29.102497050760299</c:v>
                </c:pt>
                <c:pt idx="9">
                  <c:v>29.044931542377402</c:v>
                </c:pt>
                <c:pt idx="10">
                  <c:v>28.5561415447077</c:v>
                </c:pt>
                <c:pt idx="11">
                  <c:v>28.389329606868948</c:v>
                </c:pt>
                <c:pt idx="12">
                  <c:v>28.2878767676915</c:v>
                </c:pt>
                <c:pt idx="13">
                  <c:v>28.698605589091901</c:v>
                </c:pt>
                <c:pt idx="14">
                  <c:v>28.861315892207948</c:v>
                </c:pt>
                <c:pt idx="15">
                  <c:v>29.208447496996602</c:v>
                </c:pt>
                <c:pt idx="16">
                  <c:v>27.826848159756199</c:v>
                </c:pt>
                <c:pt idx="17">
                  <c:v>28.305739109107002</c:v>
                </c:pt>
                <c:pt idx="18">
                  <c:v>27.0743680615149</c:v>
                </c:pt>
                <c:pt idx="19">
                  <c:v>28.283778882002601</c:v>
                </c:pt>
                <c:pt idx="20">
                  <c:v>27.648499541882099</c:v>
                </c:pt>
                <c:pt idx="21">
                  <c:v>27.9711115979262</c:v>
                </c:pt>
                <c:pt idx="22">
                  <c:v>27.0693771985399</c:v>
                </c:pt>
                <c:pt idx="23">
                  <c:v>26.254882370124001</c:v>
                </c:pt>
                <c:pt idx="24">
                  <c:v>26.007701095117699</c:v>
                </c:pt>
                <c:pt idx="25">
                  <c:v>25.076201105501401</c:v>
                </c:pt>
                <c:pt idx="26">
                  <c:v>25.390004332590401</c:v>
                </c:pt>
                <c:pt idx="27">
                  <c:v>24.256689060837999</c:v>
                </c:pt>
                <c:pt idx="28">
                  <c:v>24.876310785230999</c:v>
                </c:pt>
                <c:pt idx="29">
                  <c:v>24.832114704276002</c:v>
                </c:pt>
                <c:pt idx="30">
                  <c:v>24.1760244052271</c:v>
                </c:pt>
                <c:pt idx="31">
                  <c:v>24.092489536094199</c:v>
                </c:pt>
                <c:pt idx="32">
                  <c:v>24.0729309429857</c:v>
                </c:pt>
                <c:pt idx="33">
                  <c:v>24.4144739933853</c:v>
                </c:pt>
                <c:pt idx="34">
                  <c:v>24.361543026747899</c:v>
                </c:pt>
                <c:pt idx="35">
                  <c:v>26.1546381888772</c:v>
                </c:pt>
                <c:pt idx="36">
                  <c:v>24.721548659526501</c:v>
                </c:pt>
              </c:numCache>
            </c:numRef>
          </c:xVal>
          <c:yVal>
            <c:numRef>
              <c:f>'Uk37_0-2cm'!$C$5:$C$41</c:f>
              <c:numCache>
                <c:formatCode>General</c:formatCode>
                <c:ptCount val="37"/>
                <c:pt idx="0">
                  <c:v>-15.055149999999999</c:v>
                </c:pt>
                <c:pt idx="1">
                  <c:v>-15.961550000000001</c:v>
                </c:pt>
                <c:pt idx="2">
                  <c:v>-16.859529999999999</c:v>
                </c:pt>
                <c:pt idx="3">
                  <c:v>-17.591550000000002</c:v>
                </c:pt>
                <c:pt idx="4">
                  <c:v>-17.67595</c:v>
                </c:pt>
                <c:pt idx="5">
                  <c:v>-18.116350000000001</c:v>
                </c:pt>
                <c:pt idx="6">
                  <c:v>-18.53323</c:v>
                </c:pt>
                <c:pt idx="7">
                  <c:v>-18.350850000000001</c:v>
                </c:pt>
                <c:pt idx="8">
                  <c:v>-17.1036</c:v>
                </c:pt>
                <c:pt idx="9">
                  <c:v>-17.54862</c:v>
                </c:pt>
                <c:pt idx="10">
                  <c:v>-18.399229999999999</c:v>
                </c:pt>
                <c:pt idx="11">
                  <c:v>-18.083320000000001</c:v>
                </c:pt>
                <c:pt idx="12">
                  <c:v>-19.30397</c:v>
                </c:pt>
                <c:pt idx="13">
                  <c:v>-19.242529999999999</c:v>
                </c:pt>
                <c:pt idx="14">
                  <c:v>-19.416679999999999</c:v>
                </c:pt>
                <c:pt idx="15">
                  <c:v>-20.500679999999999</c:v>
                </c:pt>
                <c:pt idx="16">
                  <c:v>-20.013950000000001</c:v>
                </c:pt>
                <c:pt idx="17">
                  <c:v>-19.645119999999999</c:v>
                </c:pt>
                <c:pt idx="18">
                  <c:v>-19.520579999999999</c:v>
                </c:pt>
                <c:pt idx="19">
                  <c:v>-20.610029999999998</c:v>
                </c:pt>
                <c:pt idx="20">
                  <c:v>-20.991119999999999</c:v>
                </c:pt>
                <c:pt idx="21">
                  <c:v>-22.111419999999999</c:v>
                </c:pt>
                <c:pt idx="22">
                  <c:v>-22.07827</c:v>
                </c:pt>
                <c:pt idx="23">
                  <c:v>-22.620719999999999</c:v>
                </c:pt>
                <c:pt idx="24">
                  <c:v>-24.231549999999999</c:v>
                </c:pt>
                <c:pt idx="25">
                  <c:v>-24.231529999999999</c:v>
                </c:pt>
                <c:pt idx="26">
                  <c:v>-24.139849999999999</c:v>
                </c:pt>
                <c:pt idx="27">
                  <c:v>-25.37097</c:v>
                </c:pt>
                <c:pt idx="28">
                  <c:v>-25.10155</c:v>
                </c:pt>
                <c:pt idx="29">
                  <c:v>-24.568930000000002</c:v>
                </c:pt>
                <c:pt idx="30">
                  <c:v>-25.898330000000001</c:v>
                </c:pt>
                <c:pt idx="31">
                  <c:v>-27.769770000000001</c:v>
                </c:pt>
                <c:pt idx="32">
                  <c:v>-27.255420000000001</c:v>
                </c:pt>
                <c:pt idx="33">
                  <c:v>-28.1418</c:v>
                </c:pt>
                <c:pt idx="34">
                  <c:v>-28.12893</c:v>
                </c:pt>
                <c:pt idx="35">
                  <c:v>-28.384730000000001</c:v>
                </c:pt>
                <c:pt idx="36">
                  <c:v>-28.967880000000001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51-8549-AB06-20678E549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630479"/>
        <c:axId val="1868585679"/>
      </c:scatterChart>
      <c:valAx>
        <c:axId val="227630479"/>
        <c:scaling>
          <c:orientation val="minMax"/>
          <c:min val="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585679"/>
        <c:crosses val="autoZero"/>
        <c:crossBetween val="midCat"/>
      </c:valAx>
      <c:valAx>
        <c:axId val="1868585679"/>
        <c:scaling>
          <c:orientation val="minMax"/>
          <c:max val="-14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63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SST</a:t>
            </a:r>
            <a:r>
              <a:rPr lang="en-US" baseline="0"/>
              <a:t>s vs. Lat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17939632545932"/>
                  <c:y val="8.84259259259259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'Uk37_0-2cm'!$I$48:$I$84</c:f>
              <c:numCache>
                <c:formatCode>General</c:formatCode>
                <c:ptCount val="37"/>
                <c:pt idx="0">
                  <c:v>29.948080552460102</c:v>
                </c:pt>
                <c:pt idx="1">
                  <c:v>29.165446908123599</c:v>
                </c:pt>
                <c:pt idx="2">
                  <c:v>29.3655108680754</c:v>
                </c:pt>
                <c:pt idx="3">
                  <c:v>29.114845533768701</c:v>
                </c:pt>
                <c:pt idx="4">
                  <c:v>29.412206786830001</c:v>
                </c:pt>
                <c:pt idx="5">
                  <c:v>28.918404602019098</c:v>
                </c:pt>
                <c:pt idx="6">
                  <c:v>29.299421597148001</c:v>
                </c:pt>
                <c:pt idx="7">
                  <c:v>29.055872684674199</c:v>
                </c:pt>
                <c:pt idx="8">
                  <c:v>29.102497050760299</c:v>
                </c:pt>
                <c:pt idx="9">
                  <c:v>29.044931542377402</c:v>
                </c:pt>
                <c:pt idx="10">
                  <c:v>28.053957738194899</c:v>
                </c:pt>
                <c:pt idx="11">
                  <c:v>28.260296540064999</c:v>
                </c:pt>
                <c:pt idx="12">
                  <c:v>28.2878767676915</c:v>
                </c:pt>
                <c:pt idx="13">
                  <c:v>28.698605589091901</c:v>
                </c:pt>
                <c:pt idx="14">
                  <c:v>28.762638915540901</c:v>
                </c:pt>
                <c:pt idx="15">
                  <c:v>29.208447496996602</c:v>
                </c:pt>
                <c:pt idx="16">
                  <c:v>27.826848159756199</c:v>
                </c:pt>
                <c:pt idx="17">
                  <c:v>28.305739109107002</c:v>
                </c:pt>
                <c:pt idx="18">
                  <c:v>27.0743680615149</c:v>
                </c:pt>
                <c:pt idx="19">
                  <c:v>28.283778882002601</c:v>
                </c:pt>
                <c:pt idx="20">
                  <c:v>27.648499541882099</c:v>
                </c:pt>
                <c:pt idx="21">
                  <c:v>27.9711115979262</c:v>
                </c:pt>
                <c:pt idx="22">
                  <c:v>27.0693771985399</c:v>
                </c:pt>
                <c:pt idx="23">
                  <c:v>26.254882370124001</c:v>
                </c:pt>
                <c:pt idx="24">
                  <c:v>26.007701095117699</c:v>
                </c:pt>
                <c:pt idx="25">
                  <c:v>25.076201105501401</c:v>
                </c:pt>
                <c:pt idx="26">
                  <c:v>25.390004332590401</c:v>
                </c:pt>
                <c:pt idx="27">
                  <c:v>24.256689060837999</c:v>
                </c:pt>
                <c:pt idx="28">
                  <c:v>24.876310785230999</c:v>
                </c:pt>
                <c:pt idx="29">
                  <c:v>24.832114704276002</c:v>
                </c:pt>
                <c:pt idx="30">
                  <c:v>24.1760244052271</c:v>
                </c:pt>
                <c:pt idx="31">
                  <c:v>24.092489536094199</c:v>
                </c:pt>
                <c:pt idx="32">
                  <c:v>24.0729309429857</c:v>
                </c:pt>
                <c:pt idx="33">
                  <c:v>24.4144739933853</c:v>
                </c:pt>
                <c:pt idx="34">
                  <c:v>24.361543026747899</c:v>
                </c:pt>
                <c:pt idx="35">
                  <c:v>26.1546381888772</c:v>
                </c:pt>
                <c:pt idx="36">
                  <c:v>24.721548659526501</c:v>
                </c:pt>
              </c:numCache>
            </c:numRef>
          </c:xVal>
          <c:yVal>
            <c:numRef>
              <c:f>'Uk37_0-2cm'!$C$5:$C$41</c:f>
              <c:numCache>
                <c:formatCode>General</c:formatCode>
                <c:ptCount val="37"/>
                <c:pt idx="0">
                  <c:v>-15.055149999999999</c:v>
                </c:pt>
                <c:pt idx="1">
                  <c:v>-15.961550000000001</c:v>
                </c:pt>
                <c:pt idx="2">
                  <c:v>-16.859529999999999</c:v>
                </c:pt>
                <c:pt idx="3">
                  <c:v>-17.591550000000002</c:v>
                </c:pt>
                <c:pt idx="4">
                  <c:v>-17.67595</c:v>
                </c:pt>
                <c:pt idx="5">
                  <c:v>-18.116350000000001</c:v>
                </c:pt>
                <c:pt idx="6">
                  <c:v>-18.53323</c:v>
                </c:pt>
                <c:pt idx="7">
                  <c:v>-18.350850000000001</c:v>
                </c:pt>
                <c:pt idx="8">
                  <c:v>-17.1036</c:v>
                </c:pt>
                <c:pt idx="9">
                  <c:v>-17.54862</c:v>
                </c:pt>
                <c:pt idx="10">
                  <c:v>-18.399229999999999</c:v>
                </c:pt>
                <c:pt idx="11">
                  <c:v>-18.083320000000001</c:v>
                </c:pt>
                <c:pt idx="12">
                  <c:v>-19.30397</c:v>
                </c:pt>
                <c:pt idx="13">
                  <c:v>-19.242529999999999</c:v>
                </c:pt>
                <c:pt idx="14">
                  <c:v>-19.416679999999999</c:v>
                </c:pt>
                <c:pt idx="15">
                  <c:v>-20.500679999999999</c:v>
                </c:pt>
                <c:pt idx="16">
                  <c:v>-20.013950000000001</c:v>
                </c:pt>
                <c:pt idx="17">
                  <c:v>-19.645119999999999</c:v>
                </c:pt>
                <c:pt idx="18">
                  <c:v>-19.520579999999999</c:v>
                </c:pt>
                <c:pt idx="19">
                  <c:v>-20.610029999999998</c:v>
                </c:pt>
                <c:pt idx="20">
                  <c:v>-20.991119999999999</c:v>
                </c:pt>
                <c:pt idx="21">
                  <c:v>-22.111419999999999</c:v>
                </c:pt>
                <c:pt idx="22">
                  <c:v>-22.07827</c:v>
                </c:pt>
                <c:pt idx="23">
                  <c:v>-22.620719999999999</c:v>
                </c:pt>
                <c:pt idx="24">
                  <c:v>-24.231549999999999</c:v>
                </c:pt>
                <c:pt idx="25">
                  <c:v>-24.231529999999999</c:v>
                </c:pt>
                <c:pt idx="26">
                  <c:v>-24.139849999999999</c:v>
                </c:pt>
                <c:pt idx="27">
                  <c:v>-25.37097</c:v>
                </c:pt>
                <c:pt idx="28">
                  <c:v>-25.10155</c:v>
                </c:pt>
                <c:pt idx="29">
                  <c:v>-24.568930000000002</c:v>
                </c:pt>
                <c:pt idx="30">
                  <c:v>-25.898330000000001</c:v>
                </c:pt>
                <c:pt idx="31">
                  <c:v>-27.769770000000001</c:v>
                </c:pt>
                <c:pt idx="32">
                  <c:v>-27.255420000000001</c:v>
                </c:pt>
                <c:pt idx="33">
                  <c:v>-28.1418</c:v>
                </c:pt>
                <c:pt idx="34">
                  <c:v>-28.12893</c:v>
                </c:pt>
                <c:pt idx="35">
                  <c:v>-28.384730000000001</c:v>
                </c:pt>
                <c:pt idx="36">
                  <c:v>-28.967880000000001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9B-1147-BF5E-5FFABA266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630479"/>
        <c:axId val="1868585679"/>
      </c:scatterChart>
      <c:valAx>
        <c:axId val="227630479"/>
        <c:scaling>
          <c:orientation val="minMax"/>
          <c:min val="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585679"/>
        <c:crosses val="autoZero"/>
        <c:crossBetween val="midCat"/>
      </c:valAx>
      <c:valAx>
        <c:axId val="1868585679"/>
        <c:scaling>
          <c:orientation val="minMax"/>
          <c:max val="-14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63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419652</xdr:colOff>
      <xdr:row>13</xdr:row>
      <xdr:rowOff>202095</xdr:rowOff>
    </xdr:from>
    <xdr:to>
      <xdr:col>29</xdr:col>
      <xdr:colOff>643283</xdr:colOff>
      <xdr:row>27</xdr:row>
      <xdr:rowOff>46382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E2409B-E7B5-DED0-59F0-3CD9B63F3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427935</xdr:colOff>
      <xdr:row>0</xdr:row>
      <xdr:rowOff>0</xdr:rowOff>
    </xdr:from>
    <xdr:to>
      <xdr:col>29</xdr:col>
      <xdr:colOff>651566</xdr:colOff>
      <xdr:row>13</xdr:row>
      <xdr:rowOff>23743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55FDC2-5E0B-734B-B98A-B41AFF092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300408</xdr:colOff>
      <xdr:row>65</xdr:row>
      <xdr:rowOff>23446</xdr:rowOff>
    </xdr:from>
    <xdr:to>
      <xdr:col>28</xdr:col>
      <xdr:colOff>524039</xdr:colOff>
      <xdr:row>78</xdr:row>
      <xdr:rowOff>74799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AFE51A-15E4-324E-8BFC-60D9C92FB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524126</xdr:colOff>
      <xdr:row>46</xdr:row>
      <xdr:rowOff>60476</xdr:rowOff>
    </xdr:from>
    <xdr:to>
      <xdr:col>28</xdr:col>
      <xdr:colOff>747757</xdr:colOff>
      <xdr:row>59</xdr:row>
      <xdr:rowOff>91670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10F19D-C45B-614C-A065-34624082D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25400</xdr:colOff>
      <xdr:row>0</xdr:row>
      <xdr:rowOff>0</xdr:rowOff>
    </xdr:from>
    <xdr:to>
      <xdr:col>35</xdr:col>
      <xdr:colOff>249030</xdr:colOff>
      <xdr:row>13</xdr:row>
      <xdr:rowOff>25952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4BC0364-7492-0845-AE38-A2573EBE8D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863600</xdr:colOff>
      <xdr:row>13</xdr:row>
      <xdr:rowOff>177800</xdr:rowOff>
    </xdr:from>
    <xdr:to>
      <xdr:col>35</xdr:col>
      <xdr:colOff>210930</xdr:colOff>
      <xdr:row>27</xdr:row>
      <xdr:rowOff>25952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BF88FDF-50E4-0640-A9F5-D7A795EAD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342698</xdr:colOff>
      <xdr:row>46</xdr:row>
      <xdr:rowOff>100793</xdr:rowOff>
    </xdr:from>
    <xdr:to>
      <xdr:col>34</xdr:col>
      <xdr:colOff>566328</xdr:colOff>
      <xdr:row>59</xdr:row>
      <xdr:rowOff>131987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D732C1C-8C2E-3C47-851E-9FEF9F61A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262064</xdr:colOff>
      <xdr:row>65</xdr:row>
      <xdr:rowOff>40317</xdr:rowOff>
    </xdr:from>
    <xdr:to>
      <xdr:col>34</xdr:col>
      <xdr:colOff>485694</xdr:colOff>
      <xdr:row>78</xdr:row>
      <xdr:rowOff>91670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D80F4DB-C77E-2B48-AA39-0BF2F95521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48</xdr:col>
      <xdr:colOff>520098</xdr:colOff>
      <xdr:row>4</xdr:row>
      <xdr:rowOff>49794</xdr:rowOff>
    </xdr:from>
    <xdr:to>
      <xdr:col>53</xdr:col>
      <xdr:colOff>743728</xdr:colOff>
      <xdr:row>17</xdr:row>
      <xdr:rowOff>87343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898A7C-51C2-3911-6E21-2738751EA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48</xdr:col>
      <xdr:colOff>815108</xdr:colOff>
      <xdr:row>19</xdr:row>
      <xdr:rowOff>141908</xdr:rowOff>
    </xdr:from>
    <xdr:to>
      <xdr:col>54</xdr:col>
      <xdr:colOff>162438</xdr:colOff>
      <xdr:row>32</xdr:row>
      <xdr:rowOff>193260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7DE9DE-6438-A14D-A448-550ED81243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42</xdr:col>
      <xdr:colOff>282223</xdr:colOff>
      <xdr:row>46</xdr:row>
      <xdr:rowOff>201588</xdr:rowOff>
    </xdr:from>
    <xdr:to>
      <xdr:col>45</xdr:col>
      <xdr:colOff>282222</xdr:colOff>
      <xdr:row>60</xdr:row>
      <xdr:rowOff>31195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40F827-753B-904E-A357-4A00AB4963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42</xdr:col>
      <xdr:colOff>645079</xdr:colOff>
      <xdr:row>63</xdr:row>
      <xdr:rowOff>120952</xdr:rowOff>
    </xdr:from>
    <xdr:to>
      <xdr:col>45</xdr:col>
      <xdr:colOff>645078</xdr:colOff>
      <xdr:row>76</xdr:row>
      <xdr:rowOff>172304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05B92C7-6119-0944-ADDF-A4380AF61A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552174</xdr:colOff>
      <xdr:row>28</xdr:row>
      <xdr:rowOff>82826</xdr:rowOff>
    </xdr:from>
    <xdr:to>
      <xdr:col>29</xdr:col>
      <xdr:colOff>775805</xdr:colOff>
      <xdr:row>41</xdr:row>
      <xdr:rowOff>134178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155EEF7-641E-764E-AFB3-6458427253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54</xdr:col>
      <xdr:colOff>566330</xdr:colOff>
      <xdr:row>3</xdr:row>
      <xdr:rowOff>191192</xdr:rowOff>
    </xdr:from>
    <xdr:to>
      <xdr:col>59</xdr:col>
      <xdr:colOff>783395</xdr:colOff>
      <xdr:row>17</xdr:row>
      <xdr:rowOff>23808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6BA76-E6FB-8047-B27C-40694FC6C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55</xdr:col>
      <xdr:colOff>0</xdr:colOff>
      <xdr:row>18</xdr:row>
      <xdr:rowOff>20320</xdr:rowOff>
    </xdr:from>
    <xdr:to>
      <xdr:col>60</xdr:col>
      <xdr:colOff>223630</xdr:colOff>
      <xdr:row>32</xdr:row>
      <xdr:rowOff>37549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AAF60EA-EEC7-8545-A6D2-465FA5FAA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55</xdr:col>
      <xdr:colOff>1954</xdr:colOff>
      <xdr:row>33</xdr:row>
      <xdr:rowOff>21709</xdr:rowOff>
    </xdr:from>
    <xdr:to>
      <xdr:col>60</xdr:col>
      <xdr:colOff>228515</xdr:colOff>
      <xdr:row>46</xdr:row>
      <xdr:rowOff>48404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389A422-F144-2747-8986-C1EC39DFB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749300</xdr:colOff>
      <xdr:row>4</xdr:row>
      <xdr:rowOff>190500</xdr:rowOff>
    </xdr:from>
    <xdr:to>
      <xdr:col>22</xdr:col>
      <xdr:colOff>63500</xdr:colOff>
      <xdr:row>18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923AFA-34E6-398C-4689-7B6A2D12F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21</xdr:row>
      <xdr:rowOff>0</xdr:rowOff>
    </xdr:from>
    <xdr:to>
      <xdr:col>22</xdr:col>
      <xdr:colOff>190500</xdr:colOff>
      <xdr:row>34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B66AC6-AB2C-8D4C-B3DA-1E234BEE82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47</xdr:row>
      <xdr:rowOff>0</xdr:rowOff>
    </xdr:from>
    <xdr:to>
      <xdr:col>22</xdr:col>
      <xdr:colOff>190500</xdr:colOff>
      <xdr:row>60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0626AA-508D-0B4E-9049-3D8E9997F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63</xdr:row>
      <xdr:rowOff>0</xdr:rowOff>
    </xdr:from>
    <xdr:to>
      <xdr:col>22</xdr:col>
      <xdr:colOff>190500</xdr:colOff>
      <xdr:row>76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DDE059-CC78-EC43-A31B-AA418C31E7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5</xdr:row>
      <xdr:rowOff>0</xdr:rowOff>
    </xdr:from>
    <xdr:to>
      <xdr:col>28</xdr:col>
      <xdr:colOff>190500</xdr:colOff>
      <xdr:row>18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392574-F788-B94C-8988-F924B3689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0</xdr:colOff>
      <xdr:row>47</xdr:row>
      <xdr:rowOff>0</xdr:rowOff>
    </xdr:from>
    <xdr:to>
      <xdr:col>28</xdr:col>
      <xdr:colOff>190500</xdr:colOff>
      <xdr:row>60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8093114-88B4-944F-8A5C-9E084E34B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6EA1-B881-7B46-AA1B-7552EBAD62EF}">
  <dimension ref="A1:Y49"/>
  <sheetViews>
    <sheetView workbookViewId="0">
      <selection sqref="A1:XFD1048576"/>
    </sheetView>
  </sheetViews>
  <sheetFormatPr baseColWidth="10" defaultColWidth="11.5" defaultRowHeight="16" x14ac:dyDescent="0.2"/>
  <cols>
    <col min="6" max="7" width="11.5" style="4"/>
    <col min="16" max="16" width="11.5" style="1"/>
    <col min="19" max="19" width="16.6640625" customWidth="1"/>
  </cols>
  <sheetData>
    <row r="1" spans="1:25" s="8" customFormat="1" x14ac:dyDescent="0.2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17" t="s">
        <v>14</v>
      </c>
      <c r="G1" s="17"/>
      <c r="H1" s="35" t="s">
        <v>5</v>
      </c>
      <c r="I1" s="35"/>
      <c r="J1" s="35" t="s">
        <v>6</v>
      </c>
      <c r="K1" s="35"/>
      <c r="L1" s="8" t="s">
        <v>7</v>
      </c>
      <c r="M1" s="8" t="s">
        <v>8</v>
      </c>
      <c r="N1" s="8" t="s">
        <v>9</v>
      </c>
      <c r="O1" s="8" t="s">
        <v>10</v>
      </c>
      <c r="P1" s="9"/>
      <c r="Q1" s="8" t="s">
        <v>11</v>
      </c>
      <c r="R1" s="8" t="s">
        <v>12</v>
      </c>
      <c r="S1" s="8" t="s">
        <v>13</v>
      </c>
      <c r="U1" s="12" t="s">
        <v>16</v>
      </c>
      <c r="V1" s="12" t="s">
        <v>17</v>
      </c>
      <c r="W1" s="12" t="s">
        <v>18</v>
      </c>
      <c r="X1" s="12" t="s">
        <v>228</v>
      </c>
      <c r="Y1" s="12" t="s">
        <v>229</v>
      </c>
    </row>
    <row r="2" spans="1:25" s="14" customFormat="1" ht="17" thickBot="1" x14ac:dyDescent="0.25">
      <c r="A2" s="13"/>
      <c r="F2" s="18"/>
      <c r="G2" s="18"/>
      <c r="H2" s="14" t="s">
        <v>20</v>
      </c>
      <c r="I2" s="14" t="s">
        <v>21</v>
      </c>
      <c r="J2" s="14" t="s">
        <v>20</v>
      </c>
      <c r="K2" s="14" t="s">
        <v>21</v>
      </c>
      <c r="P2" s="15"/>
      <c r="Q2" s="14" t="s">
        <v>186</v>
      </c>
      <c r="R2" s="14" t="s">
        <v>186</v>
      </c>
      <c r="S2" s="14" t="s">
        <v>186</v>
      </c>
      <c r="U2" s="16" t="s">
        <v>227</v>
      </c>
      <c r="V2" s="16" t="s">
        <v>227</v>
      </c>
      <c r="W2" s="16" t="s">
        <v>227</v>
      </c>
      <c r="X2" s="16" t="s">
        <v>227</v>
      </c>
      <c r="Y2" s="16" t="s">
        <v>227</v>
      </c>
    </row>
    <row r="3" spans="1:25" x14ac:dyDescent="0.2">
      <c r="A3">
        <v>18547</v>
      </c>
      <c r="B3">
        <v>1460.5</v>
      </c>
      <c r="C3">
        <v>-15.055149999999999</v>
      </c>
      <c r="D3">
        <v>120.4362</v>
      </c>
      <c r="E3" t="s">
        <v>25</v>
      </c>
      <c r="F3" s="26" t="s">
        <v>26</v>
      </c>
      <c r="G3" s="26" t="s">
        <v>309</v>
      </c>
      <c r="H3">
        <v>0.74381779674280235</v>
      </c>
      <c r="I3">
        <v>1.6116458806206071E-2</v>
      </c>
      <c r="J3">
        <v>6.7899824114297375E-2</v>
      </c>
      <c r="K3">
        <v>1.5975796890326927E-3</v>
      </c>
      <c r="L3">
        <v>0.19381784696202203</v>
      </c>
      <c r="M3">
        <v>2.9663872142072489</v>
      </c>
      <c r="N3">
        <v>2.854530982288205</v>
      </c>
      <c r="O3">
        <v>0.11185623191904392</v>
      </c>
      <c r="Q3" s="2">
        <v>25.630040233113998</v>
      </c>
      <c r="R3" s="2">
        <v>32.1095370334615</v>
      </c>
      <c r="S3" s="2">
        <v>41.069659783010501</v>
      </c>
      <c r="U3" t="s">
        <v>27</v>
      </c>
      <c r="V3" t="s">
        <v>28</v>
      </c>
      <c r="W3" t="s">
        <v>29</v>
      </c>
      <c r="X3" t="s">
        <v>230</v>
      </c>
      <c r="Y3" t="s">
        <v>231</v>
      </c>
    </row>
    <row r="4" spans="1:25" x14ac:dyDescent="0.2">
      <c r="E4" t="s">
        <v>30</v>
      </c>
      <c r="F4" s="4" t="s">
        <v>31</v>
      </c>
      <c r="H4">
        <v>0.69740409954179805</v>
      </c>
      <c r="I4">
        <v>1.1520242271003352E-2</v>
      </c>
      <c r="J4">
        <v>5.7283870697968281E-2</v>
      </c>
      <c r="K4">
        <v>1.1205652511858047E-2</v>
      </c>
      <c r="L4">
        <v>0.22331065004620598</v>
      </c>
      <c r="M4">
        <v>2.7068684377893155</v>
      </c>
      <c r="N4">
        <v>2.6679757790344913</v>
      </c>
      <c r="O4">
        <v>3.8892658754824172E-2</v>
      </c>
      <c r="Q4" s="2">
        <v>22.564893940540099</v>
      </c>
      <c r="R4" s="2">
        <v>29.252722840024301</v>
      </c>
      <c r="S4" s="2">
        <v>37.414455101758499</v>
      </c>
    </row>
    <row r="5" spans="1:25" x14ac:dyDescent="0.2">
      <c r="A5">
        <v>18549</v>
      </c>
      <c r="B5">
        <v>1628.5</v>
      </c>
      <c r="C5">
        <v>-15.961550000000001</v>
      </c>
      <c r="D5">
        <v>119.50967</v>
      </c>
      <c r="E5" t="s">
        <v>25</v>
      </c>
      <c r="F5" s="4" t="s">
        <v>32</v>
      </c>
      <c r="H5">
        <v>0.7087346667290334</v>
      </c>
      <c r="I5">
        <v>2.9103366518290707E-3</v>
      </c>
      <c r="J5">
        <v>4.1222700293001541E-2</v>
      </c>
      <c r="K5">
        <v>1.4137820413386234E-2</v>
      </c>
      <c r="L5">
        <v>0.20759642197040029</v>
      </c>
      <c r="M5">
        <v>2.7630180970192972</v>
      </c>
      <c r="N5">
        <v>2.7119403952913599</v>
      </c>
      <c r="O5">
        <v>5.1077701727937574E-2</v>
      </c>
      <c r="Q5" s="2">
        <v>24.204023867975</v>
      </c>
      <c r="R5" s="2">
        <v>29.438824302646101</v>
      </c>
      <c r="S5" s="2">
        <v>35.4596624359977</v>
      </c>
      <c r="U5" t="s">
        <v>33</v>
      </c>
      <c r="V5" t="s">
        <v>34</v>
      </c>
      <c r="W5" t="s">
        <v>35</v>
      </c>
      <c r="X5" t="s">
        <v>232</v>
      </c>
      <c r="Y5" t="s">
        <v>233</v>
      </c>
    </row>
    <row r="6" spans="1:25" x14ac:dyDescent="0.2">
      <c r="E6" t="s">
        <v>30</v>
      </c>
      <c r="F6" s="4" t="s">
        <v>36</v>
      </c>
      <c r="H6">
        <v>0.69730229443833625</v>
      </c>
      <c r="J6">
        <v>8.002547374622257E-2</v>
      </c>
      <c r="L6">
        <v>0.20958127905413909</v>
      </c>
      <c r="M6">
        <v>2.6969013604383032</v>
      </c>
      <c r="N6">
        <v>2.6673624595146554</v>
      </c>
      <c r="O6">
        <v>2.9538900923647748E-2</v>
      </c>
      <c r="Q6" s="2">
        <v>24.011645588326601</v>
      </c>
      <c r="R6" s="2">
        <v>28.9120474032777</v>
      </c>
      <c r="S6" s="2">
        <v>34.595209736737402</v>
      </c>
    </row>
    <row r="7" spans="1:25" x14ac:dyDescent="0.2">
      <c r="A7">
        <v>18550</v>
      </c>
      <c r="B7">
        <v>1388</v>
      </c>
      <c r="C7">
        <v>-16.859529999999999</v>
      </c>
      <c r="D7">
        <v>118.75702</v>
      </c>
      <c r="E7" t="s">
        <v>25</v>
      </c>
      <c r="F7" s="26" t="s">
        <v>37</v>
      </c>
      <c r="G7" s="26" t="s">
        <v>309</v>
      </c>
      <c r="H7">
        <v>0.76767728986989714</v>
      </c>
      <c r="I7">
        <v>1.1500200832202483E-2</v>
      </c>
      <c r="J7">
        <v>6.4419304491205948E-2</v>
      </c>
      <c r="K7">
        <v>4.6934970446484529E-3</v>
      </c>
      <c r="L7">
        <v>0.18062158002903267</v>
      </c>
      <c r="M7">
        <v>3.0413800635415025</v>
      </c>
      <c r="N7">
        <v>2.955678388456227</v>
      </c>
      <c r="O7">
        <v>8.5701675085275486E-2</v>
      </c>
      <c r="Q7" s="2">
        <v>27.597183492744801</v>
      </c>
      <c r="R7" s="2">
        <v>33.097611451295698</v>
      </c>
      <c r="S7" s="2">
        <v>39.092111679198297</v>
      </c>
      <c r="U7" t="s">
        <v>38</v>
      </c>
      <c r="V7" t="s">
        <v>39</v>
      </c>
      <c r="W7" t="s">
        <v>40</v>
      </c>
      <c r="X7" t="s">
        <v>234</v>
      </c>
      <c r="Y7" t="s">
        <v>235</v>
      </c>
    </row>
    <row r="8" spans="1:25" x14ac:dyDescent="0.2">
      <c r="E8" t="s">
        <v>30</v>
      </c>
      <c r="F8" s="4" t="s">
        <v>41</v>
      </c>
      <c r="H8">
        <v>0.70962812963507271</v>
      </c>
      <c r="I8">
        <v>1.3776710013076746E-2</v>
      </c>
      <c r="J8">
        <v>7.0123135865607006E-2</v>
      </c>
      <c r="K8">
        <v>1.489480456781757E-2</v>
      </c>
      <c r="L8">
        <v>0.21451408941582706</v>
      </c>
      <c r="M8">
        <v>2.7244429538923227</v>
      </c>
      <c r="N8">
        <v>2.7157607178936898</v>
      </c>
      <c r="O8">
        <v>4.072011525290975E-2</v>
      </c>
      <c r="Q8" s="2">
        <v>24.2954918113311</v>
      </c>
      <c r="R8" s="2">
        <v>29.644007587405699</v>
      </c>
      <c r="S8" s="2">
        <v>35.610306136598197</v>
      </c>
    </row>
    <row r="9" spans="1:25" x14ac:dyDescent="0.2">
      <c r="A9">
        <v>18551</v>
      </c>
      <c r="B9">
        <v>668.8</v>
      </c>
      <c r="C9">
        <v>-17.591550000000002</v>
      </c>
      <c r="D9">
        <v>118.44568</v>
      </c>
      <c r="E9" t="s">
        <v>25</v>
      </c>
      <c r="F9" s="26" t="s">
        <v>42</v>
      </c>
      <c r="G9" s="26" t="s">
        <v>309</v>
      </c>
      <c r="H9">
        <v>0.77640894866831656</v>
      </c>
      <c r="I9">
        <v>5.5434675375224205E-3</v>
      </c>
      <c r="J9">
        <v>0.11412261242312459</v>
      </c>
      <c r="K9">
        <v>2.3969857206980602E-3</v>
      </c>
      <c r="L9">
        <v>0.16559202037541235</v>
      </c>
      <c r="M9">
        <v>3.1892864401611862</v>
      </c>
      <c r="N9">
        <v>2.9935481618789188</v>
      </c>
      <c r="O9">
        <v>0.19573827828226742</v>
      </c>
      <c r="Q9" s="2">
        <v>28.021164738082501</v>
      </c>
      <c r="R9" s="2">
        <v>33.331877202399802</v>
      </c>
      <c r="S9" s="2">
        <v>40.359592469713</v>
      </c>
      <c r="U9" t="s">
        <v>43</v>
      </c>
      <c r="V9" t="s">
        <v>44</v>
      </c>
      <c r="W9" t="s">
        <v>45</v>
      </c>
      <c r="X9" t="s">
        <v>236</v>
      </c>
      <c r="Y9" t="s">
        <v>237</v>
      </c>
    </row>
    <row r="10" spans="1:25" x14ac:dyDescent="0.2">
      <c r="E10" t="s">
        <v>30</v>
      </c>
      <c r="F10" s="4" t="s">
        <v>46</v>
      </c>
      <c r="H10">
        <v>0.7079692549598029</v>
      </c>
      <c r="I10">
        <v>1.3020463195470476E-2</v>
      </c>
      <c r="J10">
        <v>5.3375883476362823E-2</v>
      </c>
      <c r="K10">
        <v>3.4337390274169098E-3</v>
      </c>
      <c r="L10">
        <v>0.21398186982962686</v>
      </c>
      <c r="M10">
        <v>2.8664820532858846</v>
      </c>
      <c r="N10">
        <v>2.7091970445824645</v>
      </c>
      <c r="O10">
        <v>0.15728500870341988</v>
      </c>
      <c r="Q10" s="2">
        <v>24.268786269682199</v>
      </c>
      <c r="R10" s="2">
        <v>29.4818435208579</v>
      </c>
      <c r="S10" s="2">
        <v>35.424915215344903</v>
      </c>
    </row>
    <row r="11" spans="1:25" x14ac:dyDescent="0.2">
      <c r="A11">
        <v>18552</v>
      </c>
      <c r="B11">
        <v>1951.3</v>
      </c>
      <c r="C11">
        <v>-17.67595</v>
      </c>
      <c r="D11">
        <v>117.69401999999999</v>
      </c>
      <c r="E11" t="s">
        <v>25</v>
      </c>
      <c r="F11" s="4" t="s">
        <v>47</v>
      </c>
      <c r="H11">
        <v>0.74874514969207218</v>
      </c>
      <c r="J11">
        <v>4.0441584509120963E-2</v>
      </c>
      <c r="L11">
        <v>0.17868011206940695</v>
      </c>
      <c r="M11">
        <v>3.0414503602999998</v>
      </c>
      <c r="N11">
        <v>2.8747223080392841</v>
      </c>
      <c r="O11">
        <v>0.16672805226071574</v>
      </c>
      <c r="Q11" s="2">
        <v>26.475754467946299</v>
      </c>
      <c r="R11" s="2">
        <v>31.916781988290602</v>
      </c>
      <c r="S11" s="2">
        <v>37.951715725558998</v>
      </c>
      <c r="U11" t="s">
        <v>48</v>
      </c>
      <c r="V11" t="s">
        <v>49</v>
      </c>
      <c r="W11" t="s">
        <v>50</v>
      </c>
      <c r="X11" t="s">
        <v>238</v>
      </c>
      <c r="Y11" t="s">
        <v>239</v>
      </c>
    </row>
    <row r="12" spans="1:25" x14ac:dyDescent="0.2">
      <c r="E12" t="s">
        <v>30</v>
      </c>
      <c r="F12" s="4" t="s">
        <v>51</v>
      </c>
      <c r="H12">
        <v>0.70434688692485414</v>
      </c>
      <c r="I12">
        <v>2.4358847157689191E-3</v>
      </c>
      <c r="J12">
        <v>3.6367756510322743E-2</v>
      </c>
      <c r="K12">
        <v>3.3984975887772959E-3</v>
      </c>
      <c r="L12">
        <v>0.21295157117570501</v>
      </c>
      <c r="M12">
        <v>2.737284061689329</v>
      </c>
      <c r="N12">
        <v>2.6947298099757151</v>
      </c>
      <c r="O12">
        <v>4.2554251713613711E-2</v>
      </c>
      <c r="Q12" s="2">
        <v>24.227944210884001</v>
      </c>
      <c r="R12" s="2">
        <v>29.160223042128798</v>
      </c>
      <c r="S12" s="2">
        <v>34.963538707764002</v>
      </c>
    </row>
    <row r="13" spans="1:25" x14ac:dyDescent="0.2">
      <c r="A13">
        <v>18553</v>
      </c>
      <c r="B13">
        <v>1619.7</v>
      </c>
      <c r="C13">
        <v>-18.116350000000001</v>
      </c>
      <c r="D13">
        <v>117.11663</v>
      </c>
      <c r="E13" t="s">
        <v>25</v>
      </c>
      <c r="F13" s="4" t="s">
        <v>52</v>
      </c>
      <c r="H13">
        <v>0.75603836126096813</v>
      </c>
      <c r="I13">
        <v>2.2151701298235792E-3</v>
      </c>
      <c r="J13">
        <v>7.9580025495864418E-2</v>
      </c>
      <c r="K13">
        <v>1.3667654887627277E-2</v>
      </c>
      <c r="L13">
        <v>0.16717842531834909</v>
      </c>
      <c r="M13">
        <v>3.1076699293866783</v>
      </c>
      <c r="N13">
        <v>2.9055506996916285</v>
      </c>
      <c r="O13">
        <v>0.20211922969504981</v>
      </c>
      <c r="Q13" s="2">
        <v>26.7806022691259</v>
      </c>
      <c r="R13" s="2">
        <v>32.279723753090401</v>
      </c>
      <c r="S13" s="2">
        <v>38.500787085281701</v>
      </c>
      <c r="U13" t="s">
        <v>53</v>
      </c>
      <c r="V13" t="s">
        <v>54</v>
      </c>
      <c r="W13" t="s">
        <v>55</v>
      </c>
      <c r="X13" t="s">
        <v>240</v>
      </c>
      <c r="Y13" t="s">
        <v>241</v>
      </c>
    </row>
    <row r="14" spans="1:25" x14ac:dyDescent="0.2">
      <c r="A14">
        <v>18554</v>
      </c>
      <c r="B14">
        <v>497.9</v>
      </c>
      <c r="C14">
        <v>-18.53323</v>
      </c>
      <c r="D14">
        <v>117.36642000000001</v>
      </c>
      <c r="E14" t="s">
        <v>25</v>
      </c>
      <c r="F14" s="26" t="s">
        <v>56</v>
      </c>
      <c r="G14" s="26" t="s">
        <v>309</v>
      </c>
      <c r="H14">
        <v>0.74048114793738362</v>
      </c>
      <c r="I14">
        <v>1.2098781666380834E-2</v>
      </c>
      <c r="J14">
        <v>5.956841965284046E-2</v>
      </c>
      <c r="K14">
        <v>1.0380241844364767E-3</v>
      </c>
      <c r="L14">
        <v>0.1779468406770664</v>
      </c>
      <c r="M14">
        <v>3.1201605712626654</v>
      </c>
      <c r="N14">
        <v>2.8404694448439898</v>
      </c>
      <c r="O14">
        <v>0.27969112641867566</v>
      </c>
      <c r="Q14" s="2">
        <v>26.398128355883301</v>
      </c>
      <c r="R14" s="2">
        <v>31.150091644516898</v>
      </c>
      <c r="S14" s="2">
        <v>37.273453281318503</v>
      </c>
      <c r="U14" t="s">
        <v>57</v>
      </c>
      <c r="V14" t="s">
        <v>58</v>
      </c>
      <c r="W14" t="s">
        <v>59</v>
      </c>
      <c r="X14" t="s">
        <v>242</v>
      </c>
      <c r="Y14" t="s">
        <v>243</v>
      </c>
    </row>
    <row r="15" spans="1:25" x14ac:dyDescent="0.2">
      <c r="E15" t="s">
        <v>30</v>
      </c>
      <c r="F15" s="4" t="s">
        <v>60</v>
      </c>
      <c r="H15">
        <v>0.70438058967149675</v>
      </c>
      <c r="I15">
        <v>6.4485461685079154E-3</v>
      </c>
      <c r="J15">
        <v>3.9117610155888854E-2</v>
      </c>
      <c r="K15">
        <v>9.9550445167095811E-3</v>
      </c>
      <c r="L15">
        <v>0.20786753342050351</v>
      </c>
      <c r="M15">
        <v>2.8983083602035808</v>
      </c>
      <c r="N15">
        <v>2.6949206651259141</v>
      </c>
      <c r="O15">
        <v>0.20338769507766674</v>
      </c>
      <c r="Q15" s="2">
        <v>24.1930270715898</v>
      </c>
      <c r="R15" s="2">
        <v>29.386580988474201</v>
      </c>
      <c r="S15" s="2">
        <v>34.664129092148897</v>
      </c>
    </row>
    <row r="16" spans="1:25" x14ac:dyDescent="0.2">
      <c r="A16">
        <v>18555</v>
      </c>
      <c r="B16">
        <v>1113.7</v>
      </c>
      <c r="C16">
        <v>-18.350850000000001</v>
      </c>
      <c r="D16">
        <v>117.25673</v>
      </c>
      <c r="E16" t="s">
        <v>25</v>
      </c>
      <c r="F16" s="4" t="s">
        <v>61</v>
      </c>
      <c r="H16">
        <v>0.71391578356229912</v>
      </c>
      <c r="J16">
        <v>2.6574814850037445E-2</v>
      </c>
      <c r="L16">
        <v>0.19319152625333461</v>
      </c>
      <c r="M16">
        <v>2.9664400766765464</v>
      </c>
      <c r="N16">
        <v>2.7324083234413425</v>
      </c>
      <c r="O16">
        <v>0.23403175323520387</v>
      </c>
      <c r="Q16" s="2">
        <v>24.5329254483269</v>
      </c>
      <c r="R16" s="2">
        <v>29.913051241042702</v>
      </c>
      <c r="S16" s="2">
        <v>35.914921181275098</v>
      </c>
      <c r="U16" t="s">
        <v>62</v>
      </c>
      <c r="V16" t="s">
        <v>63</v>
      </c>
      <c r="W16" t="s">
        <v>64</v>
      </c>
      <c r="X16" t="s">
        <v>244</v>
      </c>
      <c r="Y16" t="s">
        <v>245</v>
      </c>
    </row>
    <row r="17" spans="1:25" x14ac:dyDescent="0.2">
      <c r="E17" t="s">
        <v>30</v>
      </c>
      <c r="F17" s="4" t="s">
        <v>65</v>
      </c>
      <c r="H17">
        <v>0.7160499299487737</v>
      </c>
      <c r="I17">
        <v>7.7223042338437674E-3</v>
      </c>
      <c r="J17">
        <v>2.937853636214232E-2</v>
      </c>
      <c r="K17">
        <v>6.0384238658225779E-3</v>
      </c>
      <c r="L17">
        <v>0.19555202445823952</v>
      </c>
      <c r="M17">
        <v>2.9259934577287972</v>
      </c>
      <c r="N17">
        <v>2.7409958535871102</v>
      </c>
      <c r="O17">
        <v>0.18499760414168698</v>
      </c>
      <c r="Q17" s="2">
        <v>24.6143828392693</v>
      </c>
      <c r="R17" s="2">
        <v>29.882577171285401</v>
      </c>
      <c r="S17" s="2">
        <v>35.8680959069236</v>
      </c>
    </row>
    <row r="18" spans="1:25" x14ac:dyDescent="0.2">
      <c r="A18">
        <v>18556</v>
      </c>
      <c r="B18">
        <v>1843.6</v>
      </c>
      <c r="C18">
        <v>-17.1036</v>
      </c>
      <c r="D18">
        <v>117.23048</v>
      </c>
      <c r="E18" t="s">
        <v>30</v>
      </c>
      <c r="F18" s="26" t="s">
        <v>66</v>
      </c>
      <c r="G18" s="26" t="s">
        <v>309</v>
      </c>
      <c r="H18">
        <v>0.76752561651111639</v>
      </c>
      <c r="I18">
        <v>1.8422320579095633E-3</v>
      </c>
      <c r="J18">
        <v>7.1261704875845988E-2</v>
      </c>
      <c r="K18">
        <v>3.0968981104057554E-2</v>
      </c>
      <c r="L18">
        <v>0.1549430756564609</v>
      </c>
      <c r="M18">
        <v>3.0645143426798667</v>
      </c>
      <c r="N18">
        <v>2.9548082080684597</v>
      </c>
      <c r="O18">
        <v>0.10970613461140699</v>
      </c>
      <c r="Q18" s="2">
        <v>27.575404458308199</v>
      </c>
      <c r="R18" s="2">
        <v>32.589620370669799</v>
      </c>
      <c r="S18" s="2">
        <v>38.691499227615601</v>
      </c>
      <c r="U18" t="s">
        <v>67</v>
      </c>
      <c r="V18" t="s">
        <v>68</v>
      </c>
      <c r="W18" t="s">
        <v>69</v>
      </c>
      <c r="X18" t="s">
        <v>246</v>
      </c>
      <c r="Y18" t="s">
        <v>247</v>
      </c>
    </row>
    <row r="19" spans="1:25" x14ac:dyDescent="0.2">
      <c r="A19">
        <v>18557</v>
      </c>
      <c r="B19">
        <v>2405.9</v>
      </c>
      <c r="C19">
        <v>-17.54862</v>
      </c>
      <c r="D19">
        <v>117.14593000000001</v>
      </c>
      <c r="E19" s="3" t="s">
        <v>25</v>
      </c>
      <c r="F19" s="4" t="s">
        <v>70</v>
      </c>
      <c r="H19">
        <v>0.82299496941066042</v>
      </c>
      <c r="I19">
        <v>9.1199774079338738E-3</v>
      </c>
      <c r="J19">
        <v>0.14288981621829969</v>
      </c>
      <c r="K19">
        <v>1.2480049727566151E-3</v>
      </c>
      <c r="L19">
        <v>0.12296993614202006</v>
      </c>
      <c r="M19">
        <v>3.3565510376920411</v>
      </c>
      <c r="N19">
        <v>3.2051367316955832</v>
      </c>
      <c r="O19">
        <v>0.15141430599645811</v>
      </c>
      <c r="Q19" s="2">
        <v>30.379441044855799</v>
      </c>
      <c r="R19" s="2">
        <v>36.210504308621097</v>
      </c>
      <c r="S19" s="2">
        <v>42.993245122392501</v>
      </c>
      <c r="U19" t="s">
        <v>71</v>
      </c>
      <c r="V19" t="s">
        <v>72</v>
      </c>
      <c r="W19" t="s">
        <v>73</v>
      </c>
      <c r="X19" t="s">
        <v>248</v>
      </c>
      <c r="Y19" t="s">
        <v>249</v>
      </c>
    </row>
    <row r="20" spans="1:25" x14ac:dyDescent="0.2">
      <c r="A20">
        <v>18558</v>
      </c>
      <c r="B20">
        <v>1755.4</v>
      </c>
      <c r="C20">
        <v>-18.399229999999999</v>
      </c>
      <c r="D20">
        <v>115.22788</v>
      </c>
      <c r="E20" t="s">
        <v>25</v>
      </c>
      <c r="F20" s="4" t="s">
        <v>74</v>
      </c>
      <c r="H20">
        <v>0.75629326333299873</v>
      </c>
      <c r="I20">
        <v>5.6427769922676148E-3</v>
      </c>
      <c r="J20">
        <v>7.9506150311020124E-2</v>
      </c>
      <c r="K20">
        <v>2.9579423838819373E-4</v>
      </c>
      <c r="L20">
        <v>0.18310423279374755</v>
      </c>
      <c r="M20">
        <v>2.9824426814777514</v>
      </c>
      <c r="N20">
        <v>2.9066789837217675</v>
      </c>
      <c r="O20">
        <v>7.5763697755984349E-2</v>
      </c>
      <c r="Q20" s="2">
        <v>27.075528078109599</v>
      </c>
      <c r="R20" s="2">
        <v>32.278534803011603</v>
      </c>
      <c r="S20" s="2">
        <v>38.570983553031603</v>
      </c>
      <c r="U20" t="s">
        <v>75</v>
      </c>
      <c r="V20" t="s">
        <v>76</v>
      </c>
      <c r="W20" t="s">
        <v>77</v>
      </c>
      <c r="X20" t="s">
        <v>250</v>
      </c>
      <c r="Y20" t="s">
        <v>251</v>
      </c>
    </row>
    <row r="21" spans="1:25" x14ac:dyDescent="0.2">
      <c r="E21" t="s">
        <v>30</v>
      </c>
      <c r="F21" s="4" t="s">
        <v>78</v>
      </c>
      <c r="H21">
        <v>0.70394774894642254</v>
      </c>
      <c r="I21">
        <v>3.0003510581249997E-3</v>
      </c>
      <c r="J21">
        <v>5.5036531888793615E-2</v>
      </c>
      <c r="K21">
        <v>2.9800132921907724E-2</v>
      </c>
      <c r="L21">
        <v>0.22453268477545213</v>
      </c>
      <c r="M21">
        <v>2.6621793680777914</v>
      </c>
      <c r="N21">
        <v>2.69317605518716</v>
      </c>
      <c r="O21">
        <v>6.8022155564962938E-2</v>
      </c>
      <c r="Q21" s="2">
        <v>23.899726909459901</v>
      </c>
      <c r="R21" s="2">
        <v>29.341881886365201</v>
      </c>
      <c r="S21" s="2">
        <v>35.141459436610603</v>
      </c>
    </row>
    <row r="22" spans="1:25" x14ac:dyDescent="0.2">
      <c r="A22">
        <v>18559</v>
      </c>
      <c r="B22">
        <v>1976.5</v>
      </c>
      <c r="C22">
        <v>-18.083320000000001</v>
      </c>
      <c r="D22">
        <v>115.04773</v>
      </c>
      <c r="E22" s="3" t="s">
        <v>25</v>
      </c>
      <c r="F22" s="4" t="s">
        <v>79</v>
      </c>
      <c r="H22">
        <v>0.75300969756232938</v>
      </c>
      <c r="I22">
        <v>2.3117051123863246E-2</v>
      </c>
      <c r="J22">
        <v>3.2531720368312936E-2</v>
      </c>
      <c r="K22">
        <v>8.6959498254242876E-3</v>
      </c>
      <c r="L22">
        <v>0.18294075343734406</v>
      </c>
      <c r="M22">
        <v>2.9937411434727128</v>
      </c>
      <c r="N22">
        <v>2.8935880009924912</v>
      </c>
      <c r="O22">
        <v>0.10015314248022178</v>
      </c>
      <c r="Q22" s="2">
        <v>26.804329910685201</v>
      </c>
      <c r="R22" s="2">
        <v>31.985343957574401</v>
      </c>
      <c r="S22" s="2">
        <v>37.666127983697102</v>
      </c>
      <c r="U22" t="s">
        <v>80</v>
      </c>
      <c r="V22" t="s">
        <v>81</v>
      </c>
      <c r="W22" t="s">
        <v>82</v>
      </c>
      <c r="X22" t="s">
        <v>252</v>
      </c>
      <c r="Y22" t="s">
        <v>253</v>
      </c>
    </row>
    <row r="23" spans="1:25" x14ac:dyDescent="0.2">
      <c r="E23" t="s">
        <v>30</v>
      </c>
      <c r="F23" s="4" t="s">
        <v>83</v>
      </c>
      <c r="H23">
        <v>0.70558143900076375</v>
      </c>
      <c r="I23">
        <v>1.855632007513545E-3</v>
      </c>
      <c r="J23">
        <v>5.855394832090334E-2</v>
      </c>
      <c r="K23">
        <v>7.9943954133521837E-3</v>
      </c>
      <c r="L23">
        <v>0.19937247047555204</v>
      </c>
      <c r="M23">
        <v>2.6869964717822556</v>
      </c>
      <c r="N23">
        <v>2.6995539626109863</v>
      </c>
      <c r="O23">
        <v>1.2557490828730256E-2</v>
      </c>
      <c r="Q23" s="2">
        <v>24.3827192801213</v>
      </c>
      <c r="R23" s="2">
        <v>29.379238702476101</v>
      </c>
      <c r="S23" s="2">
        <v>35.283864333512902</v>
      </c>
    </row>
    <row r="24" spans="1:25" x14ac:dyDescent="0.2">
      <c r="A24">
        <v>18560</v>
      </c>
      <c r="B24">
        <v>868.8</v>
      </c>
      <c r="C24">
        <v>-19.30397</v>
      </c>
      <c r="D24">
        <v>115.43213</v>
      </c>
      <c r="E24" s="3" t="s">
        <v>25</v>
      </c>
      <c r="F24" s="4" t="s">
        <v>84</v>
      </c>
      <c r="H24">
        <v>0.78267143465062161</v>
      </c>
      <c r="I24">
        <v>3.3686315194526601E-3</v>
      </c>
      <c r="J24">
        <v>7.8205172379126081E-2</v>
      </c>
      <c r="K24">
        <v>5.2906010321734183E-3</v>
      </c>
      <c r="L24">
        <v>0.13855492939384889</v>
      </c>
      <c r="M24">
        <v>3.3157295518765455</v>
      </c>
      <c r="N24">
        <v>3.0211094201969888</v>
      </c>
      <c r="O24">
        <v>0.2946201316795567</v>
      </c>
      <c r="Q24" s="2">
        <v>28.4135073295658</v>
      </c>
      <c r="R24" s="2">
        <v>33.811112786294501</v>
      </c>
      <c r="S24" s="2">
        <v>40.657504322138202</v>
      </c>
      <c r="U24" t="s">
        <v>85</v>
      </c>
      <c r="V24" t="s">
        <v>86</v>
      </c>
      <c r="W24" t="s">
        <v>87</v>
      </c>
      <c r="X24" t="s">
        <v>254</v>
      </c>
      <c r="Y24" t="s">
        <v>255</v>
      </c>
    </row>
    <row r="25" spans="1:25" x14ac:dyDescent="0.2">
      <c r="A25">
        <v>18561</v>
      </c>
      <c r="B25">
        <v>1185</v>
      </c>
      <c r="C25">
        <v>-19.242529999999999</v>
      </c>
      <c r="D25">
        <v>115.39917</v>
      </c>
      <c r="E25" s="3" t="s">
        <v>25</v>
      </c>
      <c r="F25" s="4" t="s">
        <v>88</v>
      </c>
      <c r="H25">
        <v>0.75259044660661778</v>
      </c>
      <c r="I25">
        <v>2.2680667223110912E-3</v>
      </c>
      <c r="J25">
        <v>5.5930662233138237E-2</v>
      </c>
      <c r="K25">
        <v>1.6925593877827575E-3</v>
      </c>
      <c r="L25">
        <v>0.16293103747723903</v>
      </c>
      <c r="M25">
        <v>3.1511440317827124</v>
      </c>
      <c r="N25">
        <v>2.890936598037336</v>
      </c>
      <c r="O25">
        <v>0.26020743374537658</v>
      </c>
      <c r="Q25" s="2">
        <v>26.6702389046606</v>
      </c>
      <c r="R25" s="2">
        <v>31.930897271203602</v>
      </c>
      <c r="S25" s="2">
        <v>38.265198388338902</v>
      </c>
      <c r="U25" t="s">
        <v>89</v>
      </c>
      <c r="V25" t="s">
        <v>90</v>
      </c>
      <c r="W25" t="s">
        <v>91</v>
      </c>
      <c r="X25" t="s">
        <v>256</v>
      </c>
      <c r="Y25" t="s">
        <v>257</v>
      </c>
    </row>
    <row r="26" spans="1:25" x14ac:dyDescent="0.2">
      <c r="A26">
        <v>18562</v>
      </c>
      <c r="B26">
        <v>1298.8</v>
      </c>
      <c r="C26">
        <v>-19.416679999999999</v>
      </c>
      <c r="D26">
        <v>114.31898</v>
      </c>
      <c r="E26" t="s">
        <v>25</v>
      </c>
      <c r="F26" s="26" t="s">
        <v>92</v>
      </c>
      <c r="G26" s="26" t="s">
        <v>309</v>
      </c>
      <c r="H26">
        <v>0.72228869323868516</v>
      </c>
      <c r="I26">
        <v>3.3525399233460366E-3</v>
      </c>
      <c r="J26">
        <v>7.5443192047824001E-2</v>
      </c>
      <c r="K26">
        <v>3.7773070433269082E-3</v>
      </c>
      <c r="L26">
        <v>0.19522898950431566</v>
      </c>
      <c r="M26">
        <v>2.9149546689743859</v>
      </c>
      <c r="N26">
        <v>2.7659035389990341</v>
      </c>
      <c r="O26">
        <v>0.14905112997535208</v>
      </c>
      <c r="Q26" s="2">
        <v>25.264987976222798</v>
      </c>
      <c r="R26" s="2">
        <v>30.323875291018201</v>
      </c>
      <c r="S26" s="2">
        <v>36.216196487290503</v>
      </c>
      <c r="U26" t="s">
        <v>93</v>
      </c>
      <c r="V26" t="s">
        <v>94</v>
      </c>
      <c r="W26" t="s">
        <v>95</v>
      </c>
      <c r="X26" t="s">
        <v>258</v>
      </c>
      <c r="Y26" t="s">
        <v>259</v>
      </c>
    </row>
    <row r="27" spans="1:25" x14ac:dyDescent="0.2">
      <c r="E27" t="s">
        <v>30</v>
      </c>
      <c r="F27" s="4" t="s">
        <v>96</v>
      </c>
      <c r="H27">
        <v>0.69917016560860601</v>
      </c>
      <c r="I27">
        <v>1.4346670047667327E-2</v>
      </c>
      <c r="J27">
        <v>7.5865315459418797E-2</v>
      </c>
      <c r="K27">
        <v>9.8335091436835206E-3</v>
      </c>
      <c r="L27">
        <v>0.21014102800906709</v>
      </c>
      <c r="M27">
        <v>2.7219613576331283</v>
      </c>
      <c r="N27">
        <v>2.674925861188381</v>
      </c>
      <c r="O27">
        <v>4.7035496444747249E-2</v>
      </c>
      <c r="Q27" s="2">
        <v>23.8973882227986</v>
      </c>
      <c r="R27" s="2">
        <v>28.9552785549511</v>
      </c>
      <c r="S27" s="2">
        <v>34.807645052651097</v>
      </c>
    </row>
    <row r="28" spans="1:25" x14ac:dyDescent="0.2">
      <c r="A28">
        <v>18564</v>
      </c>
      <c r="B28">
        <v>349.7</v>
      </c>
      <c r="C28">
        <v>-20.500679999999999</v>
      </c>
      <c r="D28">
        <v>114.78462</v>
      </c>
      <c r="E28" s="3" t="s">
        <v>25</v>
      </c>
      <c r="F28" s="4" t="s">
        <v>97</v>
      </c>
      <c r="H28">
        <v>0.67704855639539541</v>
      </c>
      <c r="J28">
        <v>7.6616297229326336E-2</v>
      </c>
      <c r="L28">
        <v>0.16950140484943915</v>
      </c>
      <c r="M28">
        <v>3.0463976890893063</v>
      </c>
      <c r="N28">
        <v>2.5905431739962808</v>
      </c>
      <c r="O28">
        <v>0.45585451509302555</v>
      </c>
      <c r="Q28" s="2">
        <v>22.478078850810501</v>
      </c>
      <c r="R28" s="2">
        <v>27.6379240851332</v>
      </c>
      <c r="S28" s="2">
        <v>33.417315927719997</v>
      </c>
      <c r="U28" t="s">
        <v>98</v>
      </c>
      <c r="V28" t="s">
        <v>99</v>
      </c>
      <c r="W28" t="s">
        <v>100</v>
      </c>
      <c r="X28" t="s">
        <v>260</v>
      </c>
      <c r="Y28" t="s">
        <v>261</v>
      </c>
    </row>
    <row r="29" spans="1:25" x14ac:dyDescent="0.2">
      <c r="A29">
        <v>18565</v>
      </c>
      <c r="B29">
        <v>1253.9000000000001</v>
      </c>
      <c r="C29">
        <v>-20.013950000000001</v>
      </c>
      <c r="D29">
        <v>114.23909999999999</v>
      </c>
      <c r="E29" s="3" t="s">
        <v>25</v>
      </c>
      <c r="F29" s="4" t="s">
        <v>101</v>
      </c>
      <c r="H29">
        <v>0.76902421427631351</v>
      </c>
      <c r="I29">
        <v>9.5618287304679687E-3</v>
      </c>
      <c r="J29">
        <v>4.9673705794082298E-2</v>
      </c>
      <c r="K29">
        <v>3.7309826155730086E-2</v>
      </c>
      <c r="L29">
        <v>0.13754760059422144</v>
      </c>
      <c r="M29">
        <v>3.2281953785671922</v>
      </c>
      <c r="N29">
        <v>2.9614452903469926</v>
      </c>
      <c r="O29">
        <v>0.26675008822019963</v>
      </c>
      <c r="Q29" s="2">
        <v>27.5095384001288</v>
      </c>
      <c r="R29" s="2">
        <v>32.779700574281797</v>
      </c>
      <c r="S29" s="2">
        <v>39.178645356614098</v>
      </c>
      <c r="U29" t="s">
        <v>102</v>
      </c>
      <c r="V29" t="s">
        <v>103</v>
      </c>
      <c r="W29" t="s">
        <v>104</v>
      </c>
      <c r="X29" t="s">
        <v>262</v>
      </c>
      <c r="Y29" t="s">
        <v>263</v>
      </c>
    </row>
    <row r="30" spans="1:25" x14ac:dyDescent="0.2">
      <c r="A30">
        <v>18566</v>
      </c>
      <c r="B30">
        <v>1133.5</v>
      </c>
      <c r="C30">
        <v>-19.645119999999999</v>
      </c>
      <c r="D30">
        <v>113.81055000000001</v>
      </c>
      <c r="E30" s="3" t="s">
        <v>105</v>
      </c>
      <c r="F30" s="4" t="s">
        <v>106</v>
      </c>
      <c r="H30">
        <v>0.69127915789805239</v>
      </c>
      <c r="J30">
        <v>7.9589533053463543E-2</v>
      </c>
      <c r="L30">
        <v>0.19966171191575266</v>
      </c>
      <c r="M30">
        <v>2.7439676411314071</v>
      </c>
      <c r="N30">
        <v>2.6442330705773776</v>
      </c>
      <c r="O30">
        <v>9.9734570554029567E-2</v>
      </c>
      <c r="Q30" s="2">
        <v>23.050504047572399</v>
      </c>
      <c r="R30" s="2">
        <v>28.507212967009401</v>
      </c>
      <c r="S30" s="2">
        <v>34.071878389646002</v>
      </c>
      <c r="U30" t="s">
        <v>107</v>
      </c>
      <c r="V30" t="s">
        <v>108</v>
      </c>
      <c r="W30" t="s">
        <v>109</v>
      </c>
      <c r="X30" t="s">
        <v>264</v>
      </c>
      <c r="Y30" t="s">
        <v>265</v>
      </c>
    </row>
    <row r="31" spans="1:25" x14ac:dyDescent="0.2">
      <c r="A31">
        <v>18567</v>
      </c>
      <c r="B31">
        <v>1131</v>
      </c>
      <c r="C31">
        <v>-19.520579999999999</v>
      </c>
      <c r="D31">
        <v>113.05877</v>
      </c>
      <c r="E31" s="3" t="s">
        <v>25</v>
      </c>
      <c r="F31" s="4" t="s">
        <v>110</v>
      </c>
      <c r="H31">
        <v>0.6839769679974953</v>
      </c>
      <c r="J31">
        <v>6.2820101315991458E-2</v>
      </c>
      <c r="L31">
        <v>0.20193540525843898</v>
      </c>
      <c r="M31">
        <v>2.7531903721154665</v>
      </c>
      <c r="N31">
        <v>2.616515050575404</v>
      </c>
      <c r="O31">
        <v>0.13667532154006246</v>
      </c>
      <c r="Q31" s="2">
        <v>22.452929068559399</v>
      </c>
      <c r="R31" s="2">
        <v>27.694671491290901</v>
      </c>
      <c r="S31" s="2">
        <v>33.4534675879056</v>
      </c>
      <c r="U31" t="s">
        <v>111</v>
      </c>
      <c r="V31" t="s">
        <v>112</v>
      </c>
      <c r="W31" t="s">
        <v>113</v>
      </c>
      <c r="X31" t="s">
        <v>266</v>
      </c>
      <c r="Y31" t="s">
        <v>267</v>
      </c>
    </row>
    <row r="32" spans="1:25" x14ac:dyDescent="0.2">
      <c r="A32">
        <v>18568</v>
      </c>
      <c r="B32">
        <v>1100</v>
      </c>
      <c r="C32">
        <v>-20.610029999999998</v>
      </c>
      <c r="D32">
        <v>113.62438</v>
      </c>
      <c r="E32" s="3" t="s">
        <v>25</v>
      </c>
      <c r="F32" s="4" t="s">
        <v>114</v>
      </c>
      <c r="H32">
        <v>0.68994438386168089</v>
      </c>
      <c r="J32">
        <v>6.7866166866516156E-2</v>
      </c>
      <c r="L32">
        <v>0.1960926117797562</v>
      </c>
      <c r="M32">
        <v>2.7589807655713123</v>
      </c>
      <c r="N32">
        <v>2.6391400237964571</v>
      </c>
      <c r="O32">
        <v>0.11984074177485526</v>
      </c>
      <c r="Q32" s="2">
        <v>23.4220277179178</v>
      </c>
      <c r="R32" s="2">
        <v>28.3774878837046</v>
      </c>
      <c r="S32" s="2">
        <v>33.973402224913698</v>
      </c>
      <c r="U32" t="s">
        <v>115</v>
      </c>
      <c r="V32" t="s">
        <v>116</v>
      </c>
      <c r="W32" t="s">
        <v>117</v>
      </c>
      <c r="X32" t="s">
        <v>268</v>
      </c>
      <c r="Y32" t="s">
        <v>269</v>
      </c>
    </row>
    <row r="33" spans="1:25" x14ac:dyDescent="0.2">
      <c r="A33">
        <v>18570</v>
      </c>
      <c r="B33">
        <v>1182.4000000000001</v>
      </c>
      <c r="C33">
        <v>-20.991119999999999</v>
      </c>
      <c r="D33">
        <v>113.44884999999999</v>
      </c>
      <c r="E33" s="3" t="s">
        <v>25</v>
      </c>
      <c r="F33" s="4" t="s">
        <v>118</v>
      </c>
      <c r="H33">
        <v>0.68858325114803764</v>
      </c>
      <c r="I33">
        <v>4.8817658207127197E-3</v>
      </c>
      <c r="J33">
        <v>5.7103783159269755E-2</v>
      </c>
      <c r="K33">
        <v>6.0504034484600453E-3</v>
      </c>
      <c r="L33">
        <v>0.18078617080808235</v>
      </c>
      <c r="M33">
        <v>2.8629318460082605</v>
      </c>
      <c r="N33">
        <v>2.6339981444228253</v>
      </c>
      <c r="O33">
        <v>0.22893370158543491</v>
      </c>
      <c r="Q33" s="2">
        <v>23.242877335586101</v>
      </c>
      <c r="R33" s="2">
        <v>28.080304785192499</v>
      </c>
      <c r="S33" s="2">
        <v>33.9300741214998</v>
      </c>
      <c r="U33" t="s">
        <v>119</v>
      </c>
      <c r="V33" t="s">
        <v>120</v>
      </c>
      <c r="W33" t="s">
        <v>121</v>
      </c>
      <c r="X33" t="s">
        <v>270</v>
      </c>
      <c r="Y33" t="s">
        <v>271</v>
      </c>
    </row>
    <row r="34" spans="1:25" x14ac:dyDescent="0.2">
      <c r="A34">
        <v>18571</v>
      </c>
      <c r="B34">
        <v>1049.3</v>
      </c>
      <c r="C34">
        <v>-22.111419999999999</v>
      </c>
      <c r="D34">
        <v>113.49442000000001</v>
      </c>
      <c r="E34" s="3" t="s">
        <v>25</v>
      </c>
      <c r="F34" s="4" t="s">
        <v>122</v>
      </c>
      <c r="H34">
        <v>0.67769139963683722</v>
      </c>
      <c r="I34">
        <v>4.1405029708462913E-3</v>
      </c>
      <c r="J34">
        <v>7.4841146142958836E-2</v>
      </c>
      <c r="K34">
        <v>2.9159161508354307E-3</v>
      </c>
      <c r="L34">
        <v>0.19434059933478698</v>
      </c>
      <c r="M34">
        <v>2.8091173913370469</v>
      </c>
      <c r="N34">
        <v>2.5929679829598511</v>
      </c>
      <c r="O34">
        <v>0.21614940837719598</v>
      </c>
      <c r="Q34" s="2">
        <v>22.225891211685202</v>
      </c>
      <c r="R34" s="2">
        <v>27.518822664655598</v>
      </c>
      <c r="S34" s="2">
        <v>33.408881833802901</v>
      </c>
      <c r="U34" t="s">
        <v>123</v>
      </c>
      <c r="V34" t="s">
        <v>124</v>
      </c>
      <c r="W34" t="s">
        <v>125</v>
      </c>
      <c r="X34" t="s">
        <v>272</v>
      </c>
      <c r="Y34" t="s">
        <v>273</v>
      </c>
    </row>
    <row r="35" spans="1:25" x14ac:dyDescent="0.2">
      <c r="A35">
        <v>18572</v>
      </c>
      <c r="B35">
        <v>1327.9</v>
      </c>
      <c r="C35">
        <v>-22.07827</v>
      </c>
      <c r="D35">
        <v>113.22843</v>
      </c>
      <c r="E35" s="3" t="s">
        <v>25</v>
      </c>
      <c r="F35" s="4" t="s">
        <v>126</v>
      </c>
      <c r="H35">
        <v>0.74355093716376497</v>
      </c>
      <c r="I35">
        <v>4.5403165713566417E-3</v>
      </c>
      <c r="J35">
        <v>0.15055429284700367</v>
      </c>
      <c r="K35">
        <v>1.1245093239636739E-2</v>
      </c>
      <c r="L35">
        <v>0.14393384933364317</v>
      </c>
      <c r="M35">
        <v>3.1579802952301721</v>
      </c>
      <c r="N35">
        <v>2.8530217456532996</v>
      </c>
      <c r="O35">
        <v>0.3049585495768723</v>
      </c>
      <c r="Q35" s="2">
        <v>26.142017968530499</v>
      </c>
      <c r="R35" s="2">
        <v>31.3747502197328</v>
      </c>
      <c r="S35" s="2">
        <v>36.920460453121898</v>
      </c>
      <c r="U35" t="s">
        <v>127</v>
      </c>
      <c r="V35" t="s">
        <v>128</v>
      </c>
      <c r="W35" t="s">
        <v>129</v>
      </c>
      <c r="X35" t="s">
        <v>274</v>
      </c>
      <c r="Y35" t="s">
        <v>275</v>
      </c>
    </row>
    <row r="36" spans="1:25" x14ac:dyDescent="0.2">
      <c r="A36">
        <v>18573</v>
      </c>
      <c r="B36">
        <v>1250.5</v>
      </c>
      <c r="C36">
        <v>-22.620719999999999</v>
      </c>
      <c r="D36">
        <v>112.83682</v>
      </c>
      <c r="E36" s="3" t="s">
        <v>25</v>
      </c>
      <c r="F36" s="4" t="s">
        <v>130</v>
      </c>
      <c r="H36">
        <v>0.66857161057353032</v>
      </c>
      <c r="I36">
        <v>1.49889934837114E-3</v>
      </c>
      <c r="J36">
        <v>6.0007241033976935E-2</v>
      </c>
      <c r="K36">
        <v>1.0653819013693441E-2</v>
      </c>
      <c r="L36">
        <v>0.19395375359434239</v>
      </c>
      <c r="M36">
        <v>2.7485168362090224</v>
      </c>
      <c r="N36">
        <v>2.5592037442825633</v>
      </c>
      <c r="O36">
        <v>0.18931309192645895</v>
      </c>
      <c r="Q36" s="2">
        <v>22.123608703305401</v>
      </c>
      <c r="R36" s="2">
        <v>27.0234464516736</v>
      </c>
      <c r="S36" s="2">
        <v>32.580988870398699</v>
      </c>
      <c r="U36" t="s">
        <v>131</v>
      </c>
      <c r="V36" t="s">
        <v>132</v>
      </c>
      <c r="W36" t="s">
        <v>133</v>
      </c>
      <c r="X36" t="s">
        <v>276</v>
      </c>
      <c r="Y36" t="s">
        <v>277</v>
      </c>
    </row>
    <row r="37" spans="1:25" x14ac:dyDescent="0.2">
      <c r="A37">
        <v>18574</v>
      </c>
      <c r="B37">
        <v>504.5</v>
      </c>
      <c r="C37">
        <v>-24.231549999999999</v>
      </c>
      <c r="D37">
        <v>112.36862000000001</v>
      </c>
      <c r="E37" s="3" t="s">
        <v>25</v>
      </c>
      <c r="F37" s="4" t="s">
        <v>134</v>
      </c>
      <c r="H37">
        <v>0.71047383947666387</v>
      </c>
      <c r="I37">
        <v>6.1202476533959646E-3</v>
      </c>
      <c r="J37">
        <v>4.4688349143981579E-2</v>
      </c>
      <c r="K37">
        <v>9.0597916076944444E-3</v>
      </c>
      <c r="L37">
        <v>0.15578131003043227</v>
      </c>
      <c r="M37">
        <v>3.0438839885180675</v>
      </c>
      <c r="N37">
        <v>2.718843937186957</v>
      </c>
      <c r="O37">
        <v>0.32504005133111069</v>
      </c>
      <c r="Q37" s="2">
        <v>23.9826856082151</v>
      </c>
      <c r="R37" s="2">
        <v>29.272755087240999</v>
      </c>
      <c r="S37" s="2">
        <v>35.457738007498399</v>
      </c>
      <c r="U37" t="s">
        <v>135</v>
      </c>
      <c r="V37" t="s">
        <v>136</v>
      </c>
      <c r="W37" t="s">
        <v>137</v>
      </c>
      <c r="X37" t="s">
        <v>278</v>
      </c>
      <c r="Y37" t="s">
        <v>279</v>
      </c>
    </row>
    <row r="38" spans="1:25" x14ac:dyDescent="0.2">
      <c r="A38">
        <v>18575</v>
      </c>
      <c r="B38">
        <v>1032</v>
      </c>
      <c r="C38">
        <v>-24.231529999999999</v>
      </c>
      <c r="D38">
        <v>111.85302</v>
      </c>
      <c r="E38" s="3" t="s">
        <v>25</v>
      </c>
      <c r="F38" s="4" t="s">
        <v>138</v>
      </c>
      <c r="H38">
        <v>0.70011944310443108</v>
      </c>
      <c r="I38">
        <v>5.7120856115407473E-3</v>
      </c>
      <c r="J38">
        <v>0.1084593728599523</v>
      </c>
      <c r="K38">
        <v>5.7669884203332107E-3</v>
      </c>
      <c r="L38">
        <v>0.18966751279640187</v>
      </c>
      <c r="M38">
        <v>2.8392678285440858</v>
      </c>
      <c r="N38">
        <v>2.6783174100748548</v>
      </c>
      <c r="O38">
        <v>0.16095041846923097</v>
      </c>
      <c r="Q38" s="2">
        <v>23.619059250323598</v>
      </c>
      <c r="R38" s="2">
        <v>28.500333620124</v>
      </c>
      <c r="S38" s="2">
        <v>34.2628300200643</v>
      </c>
      <c r="U38" t="s">
        <v>139</v>
      </c>
      <c r="V38" t="s">
        <v>140</v>
      </c>
      <c r="W38" t="s">
        <v>141</v>
      </c>
      <c r="X38" t="s">
        <v>280</v>
      </c>
      <c r="Y38" t="s">
        <v>281</v>
      </c>
    </row>
    <row r="39" spans="1:25" x14ac:dyDescent="0.2">
      <c r="A39">
        <v>18576</v>
      </c>
      <c r="B39">
        <v>1725.9</v>
      </c>
      <c r="C39">
        <v>-24.139849999999999</v>
      </c>
      <c r="D39">
        <v>111.34083</v>
      </c>
      <c r="E39" s="3" t="s">
        <v>25</v>
      </c>
      <c r="F39" s="4" t="s">
        <v>142</v>
      </c>
      <c r="H39">
        <v>0.69512263540613328</v>
      </c>
      <c r="I39">
        <v>9.7967276618290793E-3</v>
      </c>
      <c r="J39">
        <v>8.8475205460745512E-2</v>
      </c>
      <c r="K39">
        <v>2.9520664014616562E-3</v>
      </c>
      <c r="L39">
        <v>0.20674971542700959</v>
      </c>
      <c r="M39">
        <v>2.6604792374114412</v>
      </c>
      <c r="N39">
        <v>2.6591238784894324</v>
      </c>
      <c r="O39">
        <v>2.3400753655477446E-2</v>
      </c>
      <c r="Q39" s="2">
        <v>23.4848294597445</v>
      </c>
      <c r="R39" s="2">
        <v>28.584488519926101</v>
      </c>
      <c r="S39" s="2">
        <v>34.052980177737297</v>
      </c>
      <c r="U39" t="s">
        <v>143</v>
      </c>
      <c r="V39" t="s">
        <v>144</v>
      </c>
      <c r="W39" t="s">
        <v>145</v>
      </c>
      <c r="X39" t="s">
        <v>282</v>
      </c>
      <c r="Y39" t="s">
        <v>283</v>
      </c>
    </row>
    <row r="40" spans="1:25" x14ac:dyDescent="0.2">
      <c r="A40">
        <v>18578</v>
      </c>
      <c r="B40">
        <v>1678.9</v>
      </c>
      <c r="C40">
        <v>-25.37097</v>
      </c>
      <c r="D40">
        <v>111.09522</v>
      </c>
      <c r="E40" s="3" t="s">
        <v>25</v>
      </c>
      <c r="F40" s="4" t="s">
        <v>146</v>
      </c>
      <c r="H40">
        <v>0.70049352174672497</v>
      </c>
      <c r="I40">
        <v>1.4479738950648987E-2</v>
      </c>
      <c r="J40">
        <v>7.5177869779937595E-2</v>
      </c>
      <c r="K40">
        <v>1.5182272787356423E-2</v>
      </c>
      <c r="L40">
        <v>0.17943752721350076</v>
      </c>
      <c r="M40">
        <v>2.8680938215888352</v>
      </c>
      <c r="N40">
        <v>2.6800627262798624</v>
      </c>
      <c r="O40">
        <v>0.188031095308973</v>
      </c>
      <c r="Q40" s="2">
        <v>23.530198069310199</v>
      </c>
      <c r="R40" s="2">
        <v>28.7013924854053</v>
      </c>
      <c r="S40" s="2">
        <v>34.2111240400816</v>
      </c>
      <c r="U40" t="s">
        <v>147</v>
      </c>
      <c r="V40" t="s">
        <v>148</v>
      </c>
      <c r="W40" t="s">
        <v>149</v>
      </c>
      <c r="X40" t="s">
        <v>284</v>
      </c>
      <c r="Y40" t="s">
        <v>285</v>
      </c>
    </row>
    <row r="41" spans="1:25" x14ac:dyDescent="0.2">
      <c r="A41">
        <v>18579</v>
      </c>
      <c r="B41">
        <v>715.1</v>
      </c>
      <c r="C41">
        <v>-25.10155</v>
      </c>
      <c r="D41">
        <v>111.84885</v>
      </c>
      <c r="E41" s="3" t="s">
        <v>25</v>
      </c>
      <c r="F41" s="4" t="s">
        <v>150</v>
      </c>
      <c r="H41">
        <v>0.76165349710838037</v>
      </c>
      <c r="I41">
        <v>1.9526486383917033E-2</v>
      </c>
      <c r="J41">
        <v>0.10866060256822914</v>
      </c>
      <c r="K41">
        <v>6.7171867252211219E-5</v>
      </c>
      <c r="L41">
        <v>0.14052556870670549</v>
      </c>
      <c r="M41">
        <v>3.1419628007872165</v>
      </c>
      <c r="N41">
        <v>2.9301450229822321</v>
      </c>
      <c r="O41">
        <v>0.21181777780498456</v>
      </c>
      <c r="Q41" s="2">
        <v>26.7990252775672</v>
      </c>
      <c r="R41" s="2">
        <v>32.325689477711698</v>
      </c>
      <c r="S41" s="2">
        <v>38.731219881695097</v>
      </c>
      <c r="U41" t="s">
        <v>151</v>
      </c>
      <c r="V41" t="s">
        <v>152</v>
      </c>
      <c r="W41" t="s">
        <v>153</v>
      </c>
      <c r="X41" t="s">
        <v>286</v>
      </c>
      <c r="Y41" t="s">
        <v>287</v>
      </c>
    </row>
    <row r="42" spans="1:25" x14ac:dyDescent="0.2">
      <c r="A42">
        <v>18580</v>
      </c>
      <c r="B42">
        <v>1369.1</v>
      </c>
      <c r="C42">
        <v>-24.568930000000002</v>
      </c>
      <c r="D42">
        <v>111.24592</v>
      </c>
      <c r="E42" s="3" t="s">
        <v>25</v>
      </c>
      <c r="F42" s="4" t="s">
        <v>154</v>
      </c>
      <c r="H42">
        <v>0.6925333082115952</v>
      </c>
      <c r="I42">
        <v>4.6289237897218834E-3</v>
      </c>
      <c r="J42">
        <v>0.10696665609787342</v>
      </c>
      <c r="K42">
        <v>5.709611698769896E-3</v>
      </c>
      <c r="L42">
        <v>0.17963609450917556</v>
      </c>
      <c r="M42">
        <v>2.8016317934591819</v>
      </c>
      <c r="N42">
        <v>2.6490648328918081</v>
      </c>
      <c r="O42">
        <v>0.15256696056737384</v>
      </c>
      <c r="Q42" s="2">
        <v>22.9609645173419</v>
      </c>
      <c r="R42" s="2">
        <v>28.206339300783</v>
      </c>
      <c r="S42" s="2">
        <v>34.105318784009398</v>
      </c>
      <c r="U42" t="s">
        <v>155</v>
      </c>
      <c r="V42" t="s">
        <v>156</v>
      </c>
      <c r="W42" t="s">
        <v>157</v>
      </c>
      <c r="X42" t="s">
        <v>288</v>
      </c>
      <c r="Y42" t="s">
        <v>289</v>
      </c>
    </row>
    <row r="43" spans="1:25" x14ac:dyDescent="0.2">
      <c r="A43">
        <v>18582</v>
      </c>
      <c r="B43">
        <v>1571.5</v>
      </c>
      <c r="C43">
        <v>-25.898330000000001</v>
      </c>
      <c r="D43">
        <v>111.37203</v>
      </c>
      <c r="E43" s="3" t="s">
        <v>25</v>
      </c>
      <c r="F43" s="4" t="s">
        <v>158</v>
      </c>
      <c r="H43">
        <v>0.69675479475903401</v>
      </c>
      <c r="I43">
        <v>1.4560375919232777E-2</v>
      </c>
      <c r="J43">
        <v>9.730515955182778E-2</v>
      </c>
      <c r="K43">
        <v>7.5821760172852621E-3</v>
      </c>
      <c r="L43">
        <v>0.17192460599846554</v>
      </c>
      <c r="M43">
        <v>2.8664421188749918</v>
      </c>
      <c r="N43">
        <v>2.6656019857288293</v>
      </c>
      <c r="O43">
        <v>0.20084013314616223</v>
      </c>
      <c r="Q43" s="2">
        <v>23.2506087004436</v>
      </c>
      <c r="R43" s="2">
        <v>28.4724373008032</v>
      </c>
      <c r="S43" s="2">
        <v>34.021012229859998</v>
      </c>
      <c r="U43" t="s">
        <v>159</v>
      </c>
      <c r="V43" t="s">
        <v>160</v>
      </c>
      <c r="W43" t="s">
        <v>161</v>
      </c>
      <c r="X43" t="s">
        <v>290</v>
      </c>
      <c r="Y43" t="s">
        <v>291</v>
      </c>
    </row>
    <row r="44" spans="1:25" x14ac:dyDescent="0.2">
      <c r="A44">
        <v>18584</v>
      </c>
      <c r="B44">
        <v>1121.0999999999999</v>
      </c>
      <c r="C44">
        <v>-27.769770000000001</v>
      </c>
      <c r="D44">
        <v>112.42052</v>
      </c>
      <c r="E44" s="3" t="s">
        <v>25</v>
      </c>
      <c r="F44" s="4" t="s">
        <v>162</v>
      </c>
      <c r="H44">
        <v>0.7116882279101524</v>
      </c>
      <c r="I44">
        <v>2.4328568606812161E-3</v>
      </c>
      <c r="J44">
        <v>9.1237019704611677E-2</v>
      </c>
      <c r="K44">
        <v>1.5133981256152543E-2</v>
      </c>
      <c r="L44">
        <v>0.15090403253150689</v>
      </c>
      <c r="M44">
        <v>3.021448204899698</v>
      </c>
      <c r="N44">
        <v>2.7235903337411052</v>
      </c>
      <c r="O44">
        <v>0.29785787115859286</v>
      </c>
      <c r="Q44" s="2">
        <v>23.864614198006599</v>
      </c>
      <c r="R44" s="2">
        <v>29.2816059878846</v>
      </c>
      <c r="S44" s="2">
        <v>34.908697233090301</v>
      </c>
      <c r="U44" t="s">
        <v>163</v>
      </c>
      <c r="V44" t="s">
        <v>164</v>
      </c>
      <c r="W44" t="s">
        <v>165</v>
      </c>
      <c r="X44" t="s">
        <v>292</v>
      </c>
      <c r="Y44" t="s">
        <v>293</v>
      </c>
    </row>
    <row r="45" spans="1:25" x14ac:dyDescent="0.2">
      <c r="A45">
        <v>18585</v>
      </c>
      <c r="B45">
        <v>1182.7</v>
      </c>
      <c r="C45">
        <v>-27.255420000000001</v>
      </c>
      <c r="D45">
        <v>112.03628</v>
      </c>
      <c r="E45" s="3" t="s">
        <v>25</v>
      </c>
      <c r="F45" s="4" t="s">
        <v>166</v>
      </c>
      <c r="H45">
        <v>0.67486810911333051</v>
      </c>
      <c r="I45">
        <v>9.5847765673380114E-3</v>
      </c>
      <c r="J45">
        <v>6.5480755972747468E-2</v>
      </c>
      <c r="K45">
        <v>1.9746814772081303E-2</v>
      </c>
      <c r="L45">
        <v>0.18325488248078692</v>
      </c>
      <c r="M45">
        <v>2.7906226693637404</v>
      </c>
      <c r="N45">
        <v>2.5825879795642308</v>
      </c>
      <c r="O45">
        <v>0.20803468979950979</v>
      </c>
      <c r="Q45" s="2">
        <v>22.361785385341602</v>
      </c>
      <c r="R45" s="2">
        <v>27.169305145104001</v>
      </c>
      <c r="S45" s="2">
        <v>33.173220974281399</v>
      </c>
      <c r="U45" t="s">
        <v>167</v>
      </c>
      <c r="V45" t="s">
        <v>168</v>
      </c>
      <c r="W45" t="s">
        <v>169</v>
      </c>
      <c r="X45" t="s">
        <v>294</v>
      </c>
      <c r="Y45" t="s">
        <v>295</v>
      </c>
    </row>
    <row r="46" spans="1:25" x14ac:dyDescent="0.2">
      <c r="A46">
        <v>18586</v>
      </c>
      <c r="B46">
        <v>1014.6</v>
      </c>
      <c r="C46">
        <v>-28.1418</v>
      </c>
      <c r="D46">
        <v>112.63387</v>
      </c>
      <c r="E46" s="3" t="s">
        <v>25</v>
      </c>
      <c r="F46" s="4" t="s">
        <v>170</v>
      </c>
      <c r="H46">
        <v>0.66035746363579262</v>
      </c>
      <c r="I46">
        <v>8.701315228923626E-3</v>
      </c>
      <c r="J46">
        <v>8.1486806787048782E-2</v>
      </c>
      <c r="K46">
        <v>1.7847135423709189E-2</v>
      </c>
      <c r="L46">
        <v>0.18272707577942549</v>
      </c>
      <c r="M46">
        <v>2.7731528772438425</v>
      </c>
      <c r="N46">
        <v>2.5294094092603139</v>
      </c>
      <c r="O46">
        <v>0.24374346798352819</v>
      </c>
      <c r="Q46" s="2">
        <v>20.882965510500998</v>
      </c>
      <c r="R46" s="2">
        <v>26.3214855135565</v>
      </c>
      <c r="S46" s="2">
        <v>31.500750986876699</v>
      </c>
      <c r="U46" t="s">
        <v>171</v>
      </c>
      <c r="V46" t="s">
        <v>172</v>
      </c>
      <c r="W46" t="s">
        <v>173</v>
      </c>
      <c r="X46" t="s">
        <v>296</v>
      </c>
      <c r="Y46" t="s">
        <v>297</v>
      </c>
    </row>
    <row r="47" spans="1:25" x14ac:dyDescent="0.2">
      <c r="A47">
        <v>18587</v>
      </c>
      <c r="B47">
        <v>797.8</v>
      </c>
      <c r="C47">
        <v>-28.12893</v>
      </c>
      <c r="D47">
        <v>112.93697</v>
      </c>
      <c r="E47" s="3" t="s">
        <v>25</v>
      </c>
      <c r="F47" s="4" t="s">
        <v>174</v>
      </c>
      <c r="H47">
        <v>0.67662075966665913</v>
      </c>
      <c r="I47">
        <v>1.4400911756652318E-2</v>
      </c>
      <c r="J47">
        <v>4.5009831698537228E-2</v>
      </c>
      <c r="K47">
        <v>3.8847471485176938E-3</v>
      </c>
      <c r="L47">
        <v>0.17217005473363783</v>
      </c>
      <c r="M47">
        <v>3.0012334353792323</v>
      </c>
      <c r="N47">
        <v>2.5892942422547787</v>
      </c>
      <c r="O47">
        <v>0.41193919312445382</v>
      </c>
      <c r="Q47" s="2">
        <v>21.909673289793002</v>
      </c>
      <c r="R47" s="2">
        <v>27.2968556660906</v>
      </c>
      <c r="S47" s="2">
        <v>33.534643396668201</v>
      </c>
      <c r="U47" t="s">
        <v>175</v>
      </c>
      <c r="V47" t="s">
        <v>176</v>
      </c>
      <c r="W47" t="s">
        <v>177</v>
      </c>
      <c r="X47" t="s">
        <v>298</v>
      </c>
      <c r="Y47" t="s">
        <v>299</v>
      </c>
    </row>
    <row r="48" spans="1:25" x14ac:dyDescent="0.2">
      <c r="A48">
        <v>18588</v>
      </c>
      <c r="B48">
        <v>810.2</v>
      </c>
      <c r="C48">
        <v>-28.384730000000001</v>
      </c>
      <c r="D48">
        <v>113.01653</v>
      </c>
      <c r="E48" s="3" t="s">
        <v>25</v>
      </c>
      <c r="F48" s="4" t="s">
        <v>178</v>
      </c>
      <c r="H48">
        <v>0.63937590148009882</v>
      </c>
      <c r="I48">
        <v>3.471061836693874E-3</v>
      </c>
      <c r="J48">
        <v>3.9657842895809703E-2</v>
      </c>
      <c r="K48">
        <v>7.0392286798031415E-3</v>
      </c>
      <c r="L48">
        <v>0.19279252960815396</v>
      </c>
      <c r="M48">
        <v>2.6703864763855112</v>
      </c>
      <c r="N48">
        <v>2.4549216800553628</v>
      </c>
      <c r="O48">
        <v>0.21546479633014837</v>
      </c>
      <c r="Q48" s="2">
        <v>19.795967908051502</v>
      </c>
      <c r="R48" s="2">
        <v>24.757546458642199</v>
      </c>
      <c r="S48" s="2">
        <v>30.544909369706101</v>
      </c>
      <c r="U48" t="s">
        <v>179</v>
      </c>
      <c r="V48" t="s">
        <v>180</v>
      </c>
      <c r="W48" t="s">
        <v>181</v>
      </c>
      <c r="X48" t="s">
        <v>300</v>
      </c>
      <c r="Y48" t="s">
        <v>301</v>
      </c>
    </row>
    <row r="49" spans="1:25" x14ac:dyDescent="0.2">
      <c r="A49">
        <v>18589</v>
      </c>
      <c r="B49">
        <v>2485.8000000000002</v>
      </c>
      <c r="C49">
        <v>-28.967880000000001</v>
      </c>
      <c r="D49">
        <v>112.87597</v>
      </c>
      <c r="E49" s="3" t="s">
        <v>25</v>
      </c>
      <c r="F49" s="4" t="s">
        <v>182</v>
      </c>
      <c r="H49">
        <v>0.62446381560908715</v>
      </c>
      <c r="I49">
        <v>4.5095271033355365E-3</v>
      </c>
      <c r="J49">
        <v>7.545495522050244E-2</v>
      </c>
      <c r="K49">
        <v>1.064835432834908E-3</v>
      </c>
      <c r="L49">
        <v>0.20683636196483116</v>
      </c>
      <c r="M49">
        <v>2.4785413660657829</v>
      </c>
      <c r="N49">
        <v>2.4038474087233968</v>
      </c>
      <c r="O49">
        <v>7.4693957342386152E-2</v>
      </c>
      <c r="Q49" s="2">
        <v>18.7220234390626</v>
      </c>
      <c r="R49" s="2">
        <v>24.073587817238</v>
      </c>
      <c r="S49" s="2">
        <v>29.476109910925899</v>
      </c>
      <c r="U49" t="s">
        <v>183</v>
      </c>
      <c r="V49" t="s">
        <v>184</v>
      </c>
      <c r="W49" t="s">
        <v>185</v>
      </c>
      <c r="X49" t="s">
        <v>302</v>
      </c>
      <c r="Y49" t="s">
        <v>303</v>
      </c>
    </row>
  </sheetData>
  <mergeCells count="2">
    <mergeCell ref="H1:I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CD070-7E44-764D-95EB-FBB6C63FB103}">
  <dimension ref="A1:AT130"/>
  <sheetViews>
    <sheetView tabSelected="1" topLeftCell="E1" zoomScale="65" zoomScaleNormal="138" workbookViewId="0">
      <selection activeCell="O22" sqref="O22"/>
    </sheetView>
  </sheetViews>
  <sheetFormatPr baseColWidth="10" defaultColWidth="11.5" defaultRowHeight="16" x14ac:dyDescent="0.2"/>
  <cols>
    <col min="6" max="6" width="11.5" style="4"/>
    <col min="14" max="16" width="11.5" style="1"/>
  </cols>
  <sheetData>
    <row r="1" spans="1:46" x14ac:dyDescent="0.2">
      <c r="A1" t="s">
        <v>307</v>
      </c>
    </row>
    <row r="2" spans="1:46" ht="17" thickBot="1" x14ac:dyDescent="0.25"/>
    <row r="3" spans="1:46" s="19" customFormat="1" x14ac:dyDescent="0.2">
      <c r="A3" s="6" t="s">
        <v>0</v>
      </c>
      <c r="B3" s="7" t="s">
        <v>1</v>
      </c>
      <c r="C3" s="7" t="s">
        <v>2</v>
      </c>
      <c r="D3" s="7" t="s">
        <v>3</v>
      </c>
      <c r="E3" s="8" t="s">
        <v>4</v>
      </c>
      <c r="F3" s="17" t="s">
        <v>14</v>
      </c>
      <c r="G3" s="35" t="s">
        <v>5</v>
      </c>
      <c r="H3" s="35"/>
      <c r="I3" s="35" t="s">
        <v>6</v>
      </c>
      <c r="J3" s="35"/>
      <c r="K3" s="8" t="s">
        <v>7</v>
      </c>
      <c r="L3" s="8" t="s">
        <v>8</v>
      </c>
      <c r="M3" s="8" t="s">
        <v>9</v>
      </c>
      <c r="N3" s="8" t="s">
        <v>10</v>
      </c>
      <c r="O3" s="9"/>
      <c r="P3" s="8" t="s">
        <v>11</v>
      </c>
      <c r="Q3" s="8" t="s">
        <v>12</v>
      </c>
      <c r="R3" s="8" t="s">
        <v>13</v>
      </c>
      <c r="S3" s="12" t="s">
        <v>16</v>
      </c>
      <c r="T3" s="12" t="s">
        <v>17</v>
      </c>
      <c r="U3" s="12" t="s">
        <v>18</v>
      </c>
      <c r="V3" s="12" t="s">
        <v>228</v>
      </c>
      <c r="W3" s="12" t="s">
        <v>229</v>
      </c>
      <c r="AR3" s="19" t="s">
        <v>317</v>
      </c>
    </row>
    <row r="4" spans="1:46" ht="17" thickBot="1" x14ac:dyDescent="0.25">
      <c r="A4" s="13"/>
      <c r="B4" s="14"/>
      <c r="C4" s="14"/>
      <c r="D4" s="14"/>
      <c r="E4" s="14"/>
      <c r="F4" s="18"/>
      <c r="G4" s="14" t="s">
        <v>20</v>
      </c>
      <c r="H4" s="14" t="s">
        <v>21</v>
      </c>
      <c r="I4" s="14" t="s">
        <v>20</v>
      </c>
      <c r="J4" s="14" t="s">
        <v>21</v>
      </c>
      <c r="K4" s="14"/>
      <c r="L4" s="14"/>
      <c r="M4" s="14"/>
      <c r="N4" s="14"/>
      <c r="O4" s="15"/>
      <c r="P4" s="14" t="s">
        <v>186</v>
      </c>
      <c r="Q4" s="14" t="s">
        <v>186</v>
      </c>
      <c r="R4" s="14" t="s">
        <v>186</v>
      </c>
      <c r="S4" s="16" t="s">
        <v>227</v>
      </c>
      <c r="T4" s="16" t="s">
        <v>227</v>
      </c>
      <c r="U4" s="16" t="s">
        <v>227</v>
      </c>
      <c r="V4" s="16" t="s">
        <v>227</v>
      </c>
      <c r="W4" s="16" t="s">
        <v>227</v>
      </c>
      <c r="X4" s="33" t="s">
        <v>314</v>
      </c>
      <c r="AK4" s="30" t="s">
        <v>310</v>
      </c>
      <c r="AL4" s="30" t="s">
        <v>2</v>
      </c>
      <c r="AM4" s="30" t="s">
        <v>3</v>
      </c>
      <c r="AN4" s="30" t="s">
        <v>311</v>
      </c>
      <c r="AO4" s="32" t="s">
        <v>313</v>
      </c>
      <c r="AP4" s="31" t="s">
        <v>312</v>
      </c>
      <c r="AQ4" s="30" t="s">
        <v>315</v>
      </c>
      <c r="AR4" s="34" t="s">
        <v>316</v>
      </c>
      <c r="AS4" s="34" t="s">
        <v>318</v>
      </c>
    </row>
    <row r="5" spans="1:46" x14ac:dyDescent="0.2">
      <c r="A5">
        <v>18547</v>
      </c>
      <c r="B5">
        <v>1460.5</v>
      </c>
      <c r="C5">
        <v>-15.055149999999999</v>
      </c>
      <c r="D5">
        <v>120.4362</v>
      </c>
      <c r="E5" t="s">
        <v>25</v>
      </c>
      <c r="F5" s="4" t="s">
        <v>26</v>
      </c>
      <c r="G5">
        <v>0.7206109481423002</v>
      </c>
      <c r="H5">
        <v>1.3818350538604711E-2</v>
      </c>
      <c r="I5">
        <v>6.2591847406132828E-2</v>
      </c>
      <c r="J5">
        <v>6.4016161004453696E-3</v>
      </c>
      <c r="K5">
        <v>0.20856424850411401</v>
      </c>
      <c r="L5">
        <v>2.8366278259982822</v>
      </c>
      <c r="M5">
        <v>2.7612533806613482</v>
      </c>
      <c r="N5">
        <v>7.5374445336934048E-2</v>
      </c>
      <c r="O5"/>
      <c r="P5">
        <v>24.097467086827049</v>
      </c>
      <c r="Q5">
        <v>30.681129936742899</v>
      </c>
      <c r="R5">
        <v>39.2420574423845</v>
      </c>
      <c r="S5">
        <v>28.225881999999999</v>
      </c>
      <c r="T5">
        <v>29.243704000000001</v>
      </c>
      <c r="U5">
        <v>28.806533999999999</v>
      </c>
      <c r="V5">
        <v>26.251556000000001</v>
      </c>
      <c r="W5">
        <v>28.601700000000001</v>
      </c>
      <c r="X5">
        <f>AVERAGE(T5,U5)</f>
        <v>29.025119</v>
      </c>
      <c r="AK5">
        <v>18547</v>
      </c>
      <c r="AL5">
        <v>-15.055149999999999</v>
      </c>
      <c r="AM5">
        <v>120.4362</v>
      </c>
      <c r="AN5">
        <v>2.7273461818695068</v>
      </c>
      <c r="AO5">
        <v>0.20072691142559049</v>
      </c>
      <c r="AP5">
        <f t="shared" ref="AP5:AP41" si="0">Q5-S5</f>
        <v>2.4552479367429001</v>
      </c>
      <c r="AQ5">
        <v>25.272138595581051</v>
      </c>
      <c r="AR5">
        <f>0.012*AQ5+0.33</f>
        <v>0.63326566314697263</v>
      </c>
      <c r="AS5">
        <f>G5-AR5</f>
        <v>8.7345284995327566E-2</v>
      </c>
      <c r="AT5" t="str">
        <f>IF(AS5&lt;0.1,"",AS5)</f>
        <v/>
      </c>
    </row>
    <row r="6" spans="1:46" x14ac:dyDescent="0.2">
      <c r="A6">
        <v>18549</v>
      </c>
      <c r="B6">
        <v>1628.5</v>
      </c>
      <c r="C6">
        <v>-15.961550000000001</v>
      </c>
      <c r="D6">
        <v>119.50967</v>
      </c>
      <c r="E6" t="s">
        <v>25</v>
      </c>
      <c r="F6" s="4" t="s">
        <v>32</v>
      </c>
      <c r="G6">
        <v>0.70301848058368477</v>
      </c>
      <c r="H6">
        <v>2.9103366518290707E-3</v>
      </c>
      <c r="I6">
        <v>6.0624087019612055E-2</v>
      </c>
      <c r="J6">
        <v>1.4137820413386234E-2</v>
      </c>
      <c r="K6">
        <v>0.20858885051226969</v>
      </c>
      <c r="L6">
        <v>2.7299597287288</v>
      </c>
      <c r="M6">
        <v>2.6896514274030077</v>
      </c>
      <c r="N6">
        <v>4.0308301325792661E-2</v>
      </c>
      <c r="O6"/>
      <c r="P6">
        <v>24.107834728150799</v>
      </c>
      <c r="Q6">
        <v>29.1754358529619</v>
      </c>
      <c r="R6">
        <v>35.027436086367551</v>
      </c>
      <c r="S6">
        <v>28.044350000000001</v>
      </c>
      <c r="T6">
        <v>29.235814999999999</v>
      </c>
      <c r="U6">
        <v>28.644003000000001</v>
      </c>
      <c r="V6">
        <v>26.014097</v>
      </c>
      <c r="W6">
        <v>28.283467999999999</v>
      </c>
      <c r="X6">
        <f t="shared" ref="X6:X41" si="1">AVERAGE(T6,U6)</f>
        <v>28.939909</v>
      </c>
      <c r="AK6">
        <v>18549</v>
      </c>
      <c r="AL6">
        <v>-15.961550000000001</v>
      </c>
      <c r="AM6">
        <v>119.50967</v>
      </c>
      <c r="AN6">
        <v>5.1361709833145142E-2</v>
      </c>
      <c r="AO6">
        <v>0.18940214812755579</v>
      </c>
      <c r="AP6">
        <f t="shared" si="0"/>
        <v>1.131085852961899</v>
      </c>
      <c r="AQ6">
        <v>27.065814971923832</v>
      </c>
      <c r="AR6">
        <f t="shared" ref="AR6:AR41" si="2">0.012*AQ6+0.33</f>
        <v>0.65478977966308594</v>
      </c>
      <c r="AS6">
        <f t="shared" ref="AS6:AS41" si="3">G6-AR6</f>
        <v>4.8228700920598833E-2</v>
      </c>
    </row>
    <row r="7" spans="1:46" x14ac:dyDescent="0.2">
      <c r="A7">
        <v>18550</v>
      </c>
      <c r="B7">
        <v>1388</v>
      </c>
      <c r="C7">
        <v>-16.859529999999999</v>
      </c>
      <c r="D7">
        <v>118.75702</v>
      </c>
      <c r="E7" t="s">
        <v>25</v>
      </c>
      <c r="F7" s="4" t="s">
        <v>37</v>
      </c>
      <c r="G7">
        <v>0.73865270975248487</v>
      </c>
      <c r="H7">
        <v>1.2638455422639614E-2</v>
      </c>
      <c r="I7">
        <v>6.7271220178406477E-2</v>
      </c>
      <c r="J7">
        <v>9.7941508062330124E-3</v>
      </c>
      <c r="K7">
        <v>0.19756783472242986</v>
      </c>
      <c r="L7">
        <v>2.8829115087169126</v>
      </c>
      <c r="M7">
        <v>2.8357195531749584</v>
      </c>
      <c r="N7">
        <v>6.3210895169092618E-2</v>
      </c>
      <c r="O7"/>
      <c r="P7">
        <v>25.946337652037951</v>
      </c>
      <c r="Q7">
        <v>31.370809519350701</v>
      </c>
      <c r="R7">
        <v>37.351208907898247</v>
      </c>
      <c r="S7">
        <v>27.720236</v>
      </c>
      <c r="T7">
        <v>29.158068</v>
      </c>
      <c r="U7">
        <v>28.314001000000001</v>
      </c>
      <c r="V7">
        <v>25.614653000000001</v>
      </c>
      <c r="W7">
        <v>27.794236999999999</v>
      </c>
      <c r="X7">
        <f t="shared" si="1"/>
        <v>28.736034500000002</v>
      </c>
      <c r="AK7">
        <v>18550</v>
      </c>
      <c r="AL7">
        <v>-16.859529999999999</v>
      </c>
      <c r="AM7">
        <v>118.75702</v>
      </c>
      <c r="AN7">
        <v>2.5489287376403809</v>
      </c>
      <c r="AO7">
        <v>0.1879527419805527</v>
      </c>
      <c r="AP7">
        <f t="shared" si="0"/>
        <v>3.6505735193507007</v>
      </c>
      <c r="AQ7">
        <v>24.876369476318359</v>
      </c>
      <c r="AR7">
        <f t="shared" si="2"/>
        <v>0.62851643371582033</v>
      </c>
      <c r="AS7">
        <f t="shared" si="3"/>
        <v>0.11013627603666454</v>
      </c>
    </row>
    <row r="8" spans="1:46" x14ac:dyDescent="0.2">
      <c r="A8">
        <v>18551</v>
      </c>
      <c r="B8">
        <v>668.8</v>
      </c>
      <c r="C8">
        <v>-17.591550000000002</v>
      </c>
      <c r="D8">
        <v>118.44568</v>
      </c>
      <c r="E8" t="s">
        <v>25</v>
      </c>
      <c r="F8" s="4" t="s">
        <v>42</v>
      </c>
      <c r="G8">
        <v>0.74218910181405973</v>
      </c>
      <c r="H8">
        <v>9.2819653664964474E-3</v>
      </c>
      <c r="I8">
        <v>8.3749247949743699E-2</v>
      </c>
      <c r="J8">
        <v>2.915362374057485E-3</v>
      </c>
      <c r="K8">
        <v>0.18978694510251959</v>
      </c>
      <c r="L8">
        <v>3.0278842467235352</v>
      </c>
      <c r="M8">
        <v>2.8513726032306916</v>
      </c>
      <c r="N8">
        <v>0.17651164349284365</v>
      </c>
      <c r="O8"/>
      <c r="P8">
        <v>26.14497550388235</v>
      </c>
      <c r="Q8">
        <v>31.406860361628851</v>
      </c>
      <c r="R8">
        <v>37.892253842528952</v>
      </c>
      <c r="S8">
        <v>27.527097999999999</v>
      </c>
      <c r="T8">
        <v>29.172394000000001</v>
      </c>
      <c r="U8">
        <v>28.093969999999999</v>
      </c>
      <c r="V8">
        <v>25.313734</v>
      </c>
      <c r="W8">
        <v>27.528267</v>
      </c>
      <c r="X8">
        <f t="shared" si="1"/>
        <v>28.633181999999998</v>
      </c>
      <c r="AK8">
        <v>18551</v>
      </c>
      <c r="AL8">
        <v>-17.591550000000002</v>
      </c>
      <c r="AM8">
        <v>118.44568</v>
      </c>
      <c r="AN8">
        <v>3.9045472145080571</v>
      </c>
      <c r="AO8">
        <v>0.20486696064472201</v>
      </c>
      <c r="AP8">
        <f t="shared" si="0"/>
        <v>3.8797623616288526</v>
      </c>
      <c r="AQ8">
        <v>24.01894569396973</v>
      </c>
      <c r="AR8">
        <f t="shared" si="2"/>
        <v>0.61822734832763682</v>
      </c>
      <c r="AS8">
        <f t="shared" si="3"/>
        <v>0.12396175348642291</v>
      </c>
    </row>
    <row r="9" spans="1:46" x14ac:dyDescent="0.2">
      <c r="A9">
        <v>18552</v>
      </c>
      <c r="B9">
        <v>1951.3</v>
      </c>
      <c r="C9">
        <v>-17.67595</v>
      </c>
      <c r="D9">
        <v>117.69401999999999</v>
      </c>
      <c r="E9" t="s">
        <v>25</v>
      </c>
      <c r="F9" s="4" t="s">
        <v>47</v>
      </c>
      <c r="G9">
        <v>0.7265460183084631</v>
      </c>
      <c r="H9">
        <v>2.4358847157689191E-3</v>
      </c>
      <c r="I9">
        <v>3.840467050972185E-2</v>
      </c>
      <c r="J9">
        <v>3.3984975887772959E-3</v>
      </c>
      <c r="K9">
        <v>0.195815841622556</v>
      </c>
      <c r="L9">
        <v>2.8893672109946644</v>
      </c>
      <c r="M9">
        <v>2.7847260590074994</v>
      </c>
      <c r="N9">
        <v>0.10464115198716473</v>
      </c>
      <c r="O9"/>
      <c r="P9">
        <v>25.35184933941515</v>
      </c>
      <c r="Q9">
        <v>30.5385025152097</v>
      </c>
      <c r="R9">
        <v>36.4576272166615</v>
      </c>
      <c r="S9">
        <v>27.402266999999998</v>
      </c>
      <c r="T9">
        <v>29.017900000000001</v>
      </c>
      <c r="U9">
        <v>27.999998000000001</v>
      </c>
      <c r="V9">
        <v>25.252157</v>
      </c>
      <c r="W9">
        <v>27.338984</v>
      </c>
      <c r="X9">
        <f t="shared" si="1"/>
        <v>28.508949000000001</v>
      </c>
      <c r="AK9">
        <v>18552</v>
      </c>
      <c r="AL9">
        <v>-17.67595</v>
      </c>
      <c r="AM9">
        <v>117.69401999999999</v>
      </c>
      <c r="AN9">
        <v>3.655184268951416</v>
      </c>
      <c r="AO9">
        <v>0.1819051057100296</v>
      </c>
      <c r="AP9">
        <f t="shared" si="0"/>
        <v>3.1362355152097017</v>
      </c>
      <c r="AQ9">
        <v>23.968072891235352</v>
      </c>
      <c r="AR9">
        <f t="shared" si="2"/>
        <v>0.61761687469482429</v>
      </c>
      <c r="AS9">
        <f t="shared" si="3"/>
        <v>0.10892914361363881</v>
      </c>
    </row>
    <row r="10" spans="1:46" x14ac:dyDescent="0.2">
      <c r="A10">
        <v>18553</v>
      </c>
      <c r="B10">
        <v>1619.7</v>
      </c>
      <c r="C10">
        <v>-18.116350000000001</v>
      </c>
      <c r="D10">
        <v>117.11663</v>
      </c>
      <c r="E10" t="s">
        <v>25</v>
      </c>
      <c r="F10" s="4" t="s">
        <v>52</v>
      </c>
      <c r="G10">
        <v>0.75603836126096813</v>
      </c>
      <c r="H10">
        <v>2.2151701298235792E-3</v>
      </c>
      <c r="I10">
        <v>7.9580025495864418E-2</v>
      </c>
      <c r="J10">
        <v>1.3667654887627277E-2</v>
      </c>
      <c r="K10">
        <v>0.16717842531834909</v>
      </c>
      <c r="L10">
        <v>3.1076699293866783</v>
      </c>
      <c r="M10">
        <v>2.9055506996916285</v>
      </c>
      <c r="N10">
        <v>0.20211922969504981</v>
      </c>
      <c r="P10" s="2">
        <v>26.7806022691259</v>
      </c>
      <c r="Q10" s="2">
        <v>32.279723753090401</v>
      </c>
      <c r="R10" s="2">
        <v>38.500787085281701</v>
      </c>
      <c r="S10">
        <v>27.187714</v>
      </c>
      <c r="T10">
        <v>28.847807</v>
      </c>
      <c r="U10">
        <v>27.863181999999998</v>
      </c>
      <c r="V10">
        <v>25.06765</v>
      </c>
      <c r="W10">
        <v>26.972180999999999</v>
      </c>
      <c r="X10">
        <f t="shared" si="1"/>
        <v>28.355494499999999</v>
      </c>
      <c r="AK10">
        <v>18553</v>
      </c>
      <c r="AL10">
        <v>-18.116350000000001</v>
      </c>
      <c r="AM10">
        <v>117.11663</v>
      </c>
      <c r="AN10">
        <v>3.3688888549804692</v>
      </c>
      <c r="AO10">
        <v>0.18979980051517489</v>
      </c>
      <c r="AP10">
        <f t="shared" si="0"/>
        <v>5.0920097530904016</v>
      </c>
      <c r="AQ10">
        <v>23.977802276611332</v>
      </c>
      <c r="AR10">
        <f t="shared" si="2"/>
        <v>0.61773362731933601</v>
      </c>
      <c r="AS10">
        <f t="shared" si="3"/>
        <v>0.13830473394163212</v>
      </c>
    </row>
    <row r="11" spans="1:46" x14ac:dyDescent="0.2">
      <c r="A11">
        <v>18554</v>
      </c>
      <c r="B11">
        <v>497.9</v>
      </c>
      <c r="C11">
        <v>-18.53323</v>
      </c>
      <c r="D11">
        <v>117.36642000000001</v>
      </c>
      <c r="E11" t="s">
        <v>25</v>
      </c>
      <c r="F11" s="4" t="s">
        <v>56</v>
      </c>
      <c r="G11">
        <v>0.72243086880444018</v>
      </c>
      <c r="H11">
        <v>9.2736639174443754E-3</v>
      </c>
      <c r="I11">
        <v>4.9343014904364657E-2</v>
      </c>
      <c r="J11">
        <v>5.4965343505730289E-3</v>
      </c>
      <c r="K11">
        <v>0.19290718704878496</v>
      </c>
      <c r="L11">
        <v>3.0092344657331234</v>
      </c>
      <c r="M11">
        <v>2.7676950549849519</v>
      </c>
      <c r="N11">
        <v>0.2415394107481712</v>
      </c>
      <c r="O11"/>
      <c r="P11">
        <v>25.295577713736549</v>
      </c>
      <c r="Q11">
        <v>30.268336316495549</v>
      </c>
      <c r="R11">
        <v>35.968791186733696</v>
      </c>
      <c r="S11">
        <v>27.09817</v>
      </c>
      <c r="T11">
        <v>28.903597000000001</v>
      </c>
      <c r="U11">
        <v>27.718713999999999</v>
      </c>
      <c r="V11">
        <v>24.893501000000001</v>
      </c>
      <c r="W11">
        <v>26.876982000000002</v>
      </c>
      <c r="X11">
        <f t="shared" si="1"/>
        <v>28.311155499999998</v>
      </c>
      <c r="AK11">
        <v>18554</v>
      </c>
      <c r="AL11">
        <v>-18.53323</v>
      </c>
      <c r="AM11">
        <v>117.36642000000001</v>
      </c>
      <c r="AN11">
        <v>3.397833108901978</v>
      </c>
      <c r="AO11">
        <v>0.18979980051517489</v>
      </c>
      <c r="AP11">
        <f t="shared" si="0"/>
        <v>3.1701663164955498</v>
      </c>
      <c r="AQ11">
        <v>24.092031478881839</v>
      </c>
      <c r="AR11">
        <f t="shared" si="2"/>
        <v>0.61910437774658211</v>
      </c>
      <c r="AS11">
        <f t="shared" si="3"/>
        <v>0.10332649105785807</v>
      </c>
    </row>
    <row r="12" spans="1:46" x14ac:dyDescent="0.2">
      <c r="A12">
        <v>18555</v>
      </c>
      <c r="B12">
        <v>1113.7</v>
      </c>
      <c r="C12">
        <v>-18.350850000000001</v>
      </c>
      <c r="D12">
        <v>117.25673</v>
      </c>
      <c r="E12" t="s">
        <v>25</v>
      </c>
      <c r="F12" s="4" t="s">
        <v>61</v>
      </c>
      <c r="G12">
        <v>0.71498285675553641</v>
      </c>
      <c r="H12">
        <v>7.7223042338437674E-3</v>
      </c>
      <c r="I12">
        <v>2.7976675606089883E-2</v>
      </c>
      <c r="J12">
        <v>6.0384238658225779E-3</v>
      </c>
      <c r="K12">
        <v>0.19437177535578706</v>
      </c>
      <c r="L12">
        <v>2.9462167672026718</v>
      </c>
      <c r="M12">
        <v>2.7367020885142264</v>
      </c>
      <c r="N12">
        <v>0.20951467868844542</v>
      </c>
      <c r="O12"/>
      <c r="P12">
        <v>24.573654143798102</v>
      </c>
      <c r="Q12">
        <v>29.89781420616405</v>
      </c>
      <c r="R12">
        <v>35.891508544099352</v>
      </c>
      <c r="S12">
        <v>27.17896</v>
      </c>
      <c r="T12">
        <v>28.922516000000002</v>
      </c>
      <c r="U12">
        <v>27.804886</v>
      </c>
      <c r="V12">
        <v>25.011282000000001</v>
      </c>
      <c r="W12">
        <v>26.977119999999999</v>
      </c>
      <c r="X12">
        <f t="shared" si="1"/>
        <v>28.363700999999999</v>
      </c>
      <c r="AK12">
        <v>18555</v>
      </c>
      <c r="AL12">
        <v>-18.350850000000001</v>
      </c>
      <c r="AM12">
        <v>117.25673</v>
      </c>
      <c r="AN12">
        <v>3.4231243133544922</v>
      </c>
      <c r="AO12">
        <v>0.18979980051517489</v>
      </c>
      <c r="AP12">
        <f t="shared" si="0"/>
        <v>2.7188542061640497</v>
      </c>
      <c r="AQ12">
        <v>24.054403305053711</v>
      </c>
      <c r="AR12">
        <f t="shared" si="2"/>
        <v>0.61865283966064455</v>
      </c>
      <c r="AS12">
        <f t="shared" si="3"/>
        <v>9.6330017094891862E-2</v>
      </c>
    </row>
    <row r="13" spans="1:46" x14ac:dyDescent="0.2">
      <c r="A13">
        <v>18556</v>
      </c>
      <c r="B13">
        <v>1843.6</v>
      </c>
      <c r="C13">
        <v>-17.1036</v>
      </c>
      <c r="D13">
        <v>117.23048</v>
      </c>
      <c r="E13" t="s">
        <v>30</v>
      </c>
      <c r="F13" s="4" t="s">
        <v>66</v>
      </c>
      <c r="G13">
        <v>0.76752561651111639</v>
      </c>
      <c r="H13">
        <v>1.8422320579095633E-3</v>
      </c>
      <c r="I13">
        <v>7.1261704875845988E-2</v>
      </c>
      <c r="J13">
        <v>3.0968981104057554E-2</v>
      </c>
      <c r="K13">
        <v>0.1549430756564609</v>
      </c>
      <c r="L13">
        <v>3.0645143426798667</v>
      </c>
      <c r="M13">
        <v>2.9548082080684597</v>
      </c>
      <c r="N13">
        <v>0.10970613461140699</v>
      </c>
      <c r="P13" s="2">
        <v>27.575404458308199</v>
      </c>
      <c r="Q13" s="2">
        <v>32.589620370669799</v>
      </c>
      <c r="R13" s="2">
        <v>38.691499227615601</v>
      </c>
      <c r="S13">
        <v>27.420598999999999</v>
      </c>
      <c r="T13">
        <v>28.8413</v>
      </c>
      <c r="U13">
        <v>28.0838</v>
      </c>
      <c r="V13">
        <v>25.374366999999999</v>
      </c>
      <c r="W13">
        <v>27.382914</v>
      </c>
      <c r="X13">
        <f t="shared" si="1"/>
        <v>28.46255</v>
      </c>
      <c r="AK13">
        <v>18556</v>
      </c>
      <c r="AL13">
        <v>-17.1036</v>
      </c>
      <c r="AM13">
        <v>117.23048</v>
      </c>
      <c r="AN13">
        <v>2.3372893333435059</v>
      </c>
      <c r="AO13">
        <v>0.1819051057100296</v>
      </c>
      <c r="AP13">
        <f t="shared" si="0"/>
        <v>5.1690213706697996</v>
      </c>
      <c r="AQ13">
        <v>24.647125244140621</v>
      </c>
      <c r="AR13">
        <f t="shared" si="2"/>
        <v>0.62576550292968747</v>
      </c>
      <c r="AS13">
        <f t="shared" si="3"/>
        <v>0.14176011358142893</v>
      </c>
    </row>
    <row r="14" spans="1:46" x14ac:dyDescent="0.2">
      <c r="A14">
        <v>18557</v>
      </c>
      <c r="B14">
        <v>2405.9</v>
      </c>
      <c r="C14">
        <v>-17.54862</v>
      </c>
      <c r="D14">
        <v>117.14593000000001</v>
      </c>
      <c r="E14" s="3" t="s">
        <v>25</v>
      </c>
      <c r="F14" s="4" t="s">
        <v>70</v>
      </c>
      <c r="G14">
        <v>0.82299496941066042</v>
      </c>
      <c r="H14">
        <v>9.1199774079338738E-3</v>
      </c>
      <c r="I14">
        <v>0.14288981621829969</v>
      </c>
      <c r="J14">
        <v>1.2480049727566151E-3</v>
      </c>
      <c r="K14">
        <v>0.12296993614202006</v>
      </c>
      <c r="L14">
        <v>3.3565510376920411</v>
      </c>
      <c r="M14">
        <v>3.2051367316955832</v>
      </c>
      <c r="N14">
        <v>0.15141430599645811</v>
      </c>
      <c r="P14" s="2">
        <v>30.379441044855799</v>
      </c>
      <c r="Q14" s="2">
        <v>36.210504308621097</v>
      </c>
      <c r="R14" s="2">
        <v>42.993245122392501</v>
      </c>
      <c r="S14">
        <v>27.302599000000001</v>
      </c>
      <c r="T14">
        <v>28.853646999999999</v>
      </c>
      <c r="U14">
        <v>27.986848999999999</v>
      </c>
      <c r="V14">
        <v>25.197382000000001</v>
      </c>
      <c r="W14">
        <v>27.172533000000001</v>
      </c>
      <c r="X14">
        <f t="shared" si="1"/>
        <v>28.420248000000001</v>
      </c>
      <c r="AK14">
        <v>18557</v>
      </c>
      <c r="AL14">
        <v>-17.54862</v>
      </c>
      <c r="AM14">
        <v>117.14593000000001</v>
      </c>
      <c r="AN14">
        <v>3.512549877166748</v>
      </c>
      <c r="AO14">
        <v>0.1819051057100296</v>
      </c>
      <c r="AP14">
        <f t="shared" si="0"/>
        <v>8.9079053086210962</v>
      </c>
      <c r="AQ14">
        <v>23.90620040893555</v>
      </c>
      <c r="AR14">
        <f t="shared" si="2"/>
        <v>0.61687440490722656</v>
      </c>
      <c r="AS14">
        <f t="shared" si="3"/>
        <v>0.20612056450343386</v>
      </c>
    </row>
    <row r="15" spans="1:46" x14ac:dyDescent="0.2">
      <c r="A15">
        <v>18558</v>
      </c>
      <c r="B15">
        <v>1755.4</v>
      </c>
      <c r="C15">
        <v>-18.399229999999999</v>
      </c>
      <c r="D15">
        <v>115.22788</v>
      </c>
      <c r="E15" t="s">
        <v>25</v>
      </c>
      <c r="F15" s="4" t="s">
        <v>74</v>
      </c>
      <c r="G15">
        <v>0.73012050613971069</v>
      </c>
      <c r="H15">
        <v>4.3215640251963068E-3</v>
      </c>
      <c r="I15">
        <v>6.7271341099906873E-2</v>
      </c>
      <c r="J15">
        <v>1.5047963580147958E-2</v>
      </c>
      <c r="K15">
        <v>0.20381845878459984</v>
      </c>
      <c r="L15">
        <v>2.8223110247777714</v>
      </c>
      <c r="M15">
        <v>2.7999275194544637</v>
      </c>
      <c r="N15">
        <v>7.1892926660473644E-2</v>
      </c>
      <c r="O15"/>
      <c r="P15">
        <v>25.48762749378475</v>
      </c>
      <c r="Q15">
        <v>30.810208344688402</v>
      </c>
      <c r="R15">
        <v>36.856221494821099</v>
      </c>
      <c r="S15">
        <v>26.916954</v>
      </c>
      <c r="T15">
        <v>28.520734999999998</v>
      </c>
      <c r="U15">
        <v>27.909162999999999</v>
      </c>
      <c r="V15">
        <v>24.89208</v>
      </c>
      <c r="W15">
        <v>26.345963000000001</v>
      </c>
      <c r="X15">
        <f t="shared" si="1"/>
        <v>28.214948999999997</v>
      </c>
      <c r="AK15">
        <v>18558</v>
      </c>
      <c r="AL15">
        <v>-18.399229999999999</v>
      </c>
      <c r="AM15">
        <v>115.22788</v>
      </c>
      <c r="AN15">
        <v>2.3417826741933818E-3</v>
      </c>
      <c r="AO15">
        <v>0.1731922775506973</v>
      </c>
      <c r="AP15">
        <f t="shared" si="0"/>
        <v>3.8932543446884011</v>
      </c>
      <c r="AQ15">
        <v>26.615056991577148</v>
      </c>
      <c r="AR15">
        <f t="shared" si="2"/>
        <v>0.64938068389892578</v>
      </c>
      <c r="AS15">
        <f t="shared" si="3"/>
        <v>8.0739822240784909E-2</v>
      </c>
    </row>
    <row r="16" spans="1:46" x14ac:dyDescent="0.2">
      <c r="A16">
        <v>18559</v>
      </c>
      <c r="B16">
        <v>1976.5</v>
      </c>
      <c r="C16">
        <v>-18.083320000000001</v>
      </c>
      <c r="D16">
        <v>115.04773</v>
      </c>
      <c r="E16" s="3" t="s">
        <v>25</v>
      </c>
      <c r="F16" s="4" t="s">
        <v>79</v>
      </c>
      <c r="G16">
        <v>0.72929556828154651</v>
      </c>
      <c r="H16">
        <v>1.2486341565688395E-2</v>
      </c>
      <c r="I16">
        <v>4.5542834344608138E-2</v>
      </c>
      <c r="J16">
        <v>8.3451726193882365E-3</v>
      </c>
      <c r="K16">
        <v>0.19115661195644806</v>
      </c>
      <c r="L16">
        <v>2.8403688076274842</v>
      </c>
      <c r="M16">
        <v>2.7965709818017386</v>
      </c>
      <c r="N16">
        <v>5.6355316654476018E-2</v>
      </c>
      <c r="O16"/>
      <c r="P16">
        <v>25.593524595403252</v>
      </c>
      <c r="Q16">
        <v>30.682291330025251</v>
      </c>
      <c r="R16">
        <v>36.474996158605002</v>
      </c>
      <c r="S16">
        <v>26.98049</v>
      </c>
      <c r="T16">
        <v>28.546800000000001</v>
      </c>
      <c r="U16">
        <v>27.952932000000001</v>
      </c>
      <c r="V16">
        <v>24.972878000000001</v>
      </c>
      <c r="W16">
        <v>26.449486</v>
      </c>
      <c r="X16">
        <f t="shared" si="1"/>
        <v>28.249866000000001</v>
      </c>
      <c r="AK16">
        <v>18559</v>
      </c>
      <c r="AL16">
        <v>-18.083320000000001</v>
      </c>
      <c r="AM16">
        <v>115.04773</v>
      </c>
      <c r="AN16">
        <v>6.3010095618665218E-3</v>
      </c>
      <c r="AO16">
        <v>0.1731922775506973</v>
      </c>
      <c r="AP16">
        <f t="shared" si="0"/>
        <v>3.7018013300252512</v>
      </c>
      <c r="AQ16">
        <v>26.410581588745121</v>
      </c>
      <c r="AR16">
        <f t="shared" si="2"/>
        <v>0.64692697906494145</v>
      </c>
      <c r="AS16">
        <f t="shared" si="3"/>
        <v>8.2368589216605059E-2</v>
      </c>
    </row>
    <row r="17" spans="1:45" x14ac:dyDescent="0.2">
      <c r="A17">
        <v>18560</v>
      </c>
      <c r="B17">
        <v>868.8</v>
      </c>
      <c r="C17">
        <v>-19.30397</v>
      </c>
      <c r="D17">
        <v>115.43213</v>
      </c>
      <c r="E17" s="3" t="s">
        <v>25</v>
      </c>
      <c r="F17" s="4" t="s">
        <v>84</v>
      </c>
      <c r="G17">
        <v>0.78267143465062161</v>
      </c>
      <c r="H17">
        <v>3.3686315194526601E-3</v>
      </c>
      <c r="I17">
        <v>7.8205172379126081E-2</v>
      </c>
      <c r="J17">
        <v>5.2906010321734183E-3</v>
      </c>
      <c r="K17">
        <v>0.13855492939384889</v>
      </c>
      <c r="L17">
        <v>3.3157295518765455</v>
      </c>
      <c r="M17">
        <v>3.0211094201969888</v>
      </c>
      <c r="N17">
        <v>0.2946201316795567</v>
      </c>
      <c r="P17" s="2">
        <v>28.4135073295658</v>
      </c>
      <c r="Q17" s="2">
        <v>33.811112786294501</v>
      </c>
      <c r="R17" s="2">
        <v>40.657504322138202</v>
      </c>
      <c r="S17">
        <v>26.578130000000002</v>
      </c>
      <c r="T17">
        <v>28.395085999999999</v>
      </c>
      <c r="U17">
        <v>27.593713999999999</v>
      </c>
      <c r="V17">
        <v>24.393681999999998</v>
      </c>
      <c r="W17">
        <v>25.930002000000002</v>
      </c>
      <c r="X17">
        <f t="shared" si="1"/>
        <v>27.994399999999999</v>
      </c>
      <c r="AK17">
        <v>18560</v>
      </c>
      <c r="AL17">
        <v>-19.30397</v>
      </c>
      <c r="AM17">
        <v>115.43213</v>
      </c>
      <c r="AN17">
        <v>5.9422550201416016</v>
      </c>
      <c r="AO17">
        <v>0.1783459335565567</v>
      </c>
      <c r="AP17">
        <f t="shared" si="0"/>
        <v>7.2329827862944995</v>
      </c>
      <c r="AQ17">
        <v>22.06535720825195</v>
      </c>
      <c r="AR17">
        <f t="shared" si="2"/>
        <v>0.59478428649902337</v>
      </c>
      <c r="AS17">
        <f t="shared" si="3"/>
        <v>0.18788714815159824</v>
      </c>
    </row>
    <row r="18" spans="1:45" x14ac:dyDescent="0.2">
      <c r="A18">
        <v>18561</v>
      </c>
      <c r="B18">
        <v>1185</v>
      </c>
      <c r="C18">
        <v>-19.242529999999999</v>
      </c>
      <c r="D18">
        <v>115.39917</v>
      </c>
      <c r="E18" s="3" t="s">
        <v>25</v>
      </c>
      <c r="F18" s="4" t="s">
        <v>88</v>
      </c>
      <c r="G18">
        <v>0.75259044660661778</v>
      </c>
      <c r="H18">
        <v>2.2680667223110912E-3</v>
      </c>
      <c r="I18">
        <v>5.5930662233138237E-2</v>
      </c>
      <c r="J18">
        <v>1.6925593877827575E-3</v>
      </c>
      <c r="K18">
        <v>0.16293103747723903</v>
      </c>
      <c r="L18">
        <v>3.1511440317827124</v>
      </c>
      <c r="M18">
        <v>2.890936598037336</v>
      </c>
      <c r="N18">
        <v>0.26020743374537658</v>
      </c>
      <c r="P18" s="2">
        <v>26.6702389046606</v>
      </c>
      <c r="Q18" s="2">
        <v>31.930897271203602</v>
      </c>
      <c r="R18" s="2">
        <v>38.265198388338902</v>
      </c>
      <c r="S18">
        <v>26.692001000000001</v>
      </c>
      <c r="T18">
        <v>28.444984000000002</v>
      </c>
      <c r="U18">
        <v>27.707519999999999</v>
      </c>
      <c r="V18">
        <v>24.545822000000001</v>
      </c>
      <c r="W18">
        <v>26.069717000000001</v>
      </c>
      <c r="X18">
        <f t="shared" si="1"/>
        <v>28.076252</v>
      </c>
      <c r="AK18">
        <v>18561</v>
      </c>
      <c r="AL18">
        <v>-19.242529999999999</v>
      </c>
      <c r="AM18">
        <v>115.39917</v>
      </c>
      <c r="AN18">
        <v>6.0392928123474121</v>
      </c>
      <c r="AO18">
        <v>0.1783459335565567</v>
      </c>
      <c r="AP18">
        <f t="shared" si="0"/>
        <v>5.2388962712036005</v>
      </c>
      <c r="AQ18">
        <v>22.02445030212402</v>
      </c>
      <c r="AR18">
        <f t="shared" si="2"/>
        <v>0.59429340362548833</v>
      </c>
      <c r="AS18">
        <f t="shared" si="3"/>
        <v>0.15829704298112945</v>
      </c>
    </row>
    <row r="19" spans="1:45" x14ac:dyDescent="0.2">
      <c r="A19">
        <v>18562</v>
      </c>
      <c r="B19">
        <v>1298.8</v>
      </c>
      <c r="C19">
        <v>-19.416679999999999</v>
      </c>
      <c r="D19">
        <v>114.31898</v>
      </c>
      <c r="E19" t="s">
        <v>25</v>
      </c>
      <c r="F19" s="4" t="s">
        <v>92</v>
      </c>
      <c r="G19">
        <v>0.71072942942364559</v>
      </c>
      <c r="H19">
        <v>8.849604985506682E-3</v>
      </c>
      <c r="I19">
        <v>7.5654253753621392E-2</v>
      </c>
      <c r="J19">
        <v>6.8054080935052146E-3</v>
      </c>
      <c r="K19">
        <v>0.20268500875669138</v>
      </c>
      <c r="L19">
        <v>2.8184580133037569</v>
      </c>
      <c r="M19">
        <v>2.7204147000937073</v>
      </c>
      <c r="N19">
        <v>9.8043313210049665E-2</v>
      </c>
      <c r="O19"/>
      <c r="P19">
        <v>24.581188099510697</v>
      </c>
      <c r="Q19">
        <v>29.639576922984652</v>
      </c>
      <c r="R19">
        <v>35.5119207699708</v>
      </c>
      <c r="S19">
        <v>26.442345</v>
      </c>
      <c r="T19">
        <v>28.201332000000001</v>
      </c>
      <c r="U19">
        <v>27.462364000000001</v>
      </c>
      <c r="V19">
        <v>24.423065000000001</v>
      </c>
      <c r="W19">
        <v>25.682580000000002</v>
      </c>
      <c r="X19">
        <f t="shared" si="1"/>
        <v>27.831848000000001</v>
      </c>
      <c r="AK19">
        <v>18562</v>
      </c>
      <c r="AL19">
        <v>-19.416679999999999</v>
      </c>
      <c r="AM19">
        <v>114.31898</v>
      </c>
      <c r="AN19">
        <v>3.518355131149292</v>
      </c>
      <c r="AO19">
        <v>0.1962938457727432</v>
      </c>
      <c r="AP19">
        <f t="shared" si="0"/>
        <v>3.1972319229846526</v>
      </c>
      <c r="AQ19">
        <v>22.63822174072266</v>
      </c>
      <c r="AR19">
        <f t="shared" si="2"/>
        <v>0.60165866088867193</v>
      </c>
      <c r="AS19">
        <f t="shared" si="3"/>
        <v>0.10907076853497366</v>
      </c>
    </row>
    <row r="20" spans="1:45" x14ac:dyDescent="0.2">
      <c r="A20">
        <v>18564</v>
      </c>
      <c r="B20">
        <v>349.7</v>
      </c>
      <c r="C20">
        <v>-20.500679999999999</v>
      </c>
      <c r="D20">
        <v>114.78462</v>
      </c>
      <c r="E20" s="3" t="s">
        <v>25</v>
      </c>
      <c r="F20" s="4" t="s">
        <v>97</v>
      </c>
      <c r="G20">
        <v>0.67704855639539541</v>
      </c>
      <c r="I20">
        <v>7.6616297229326336E-2</v>
      </c>
      <c r="K20">
        <v>0.16950140484943915</v>
      </c>
      <c r="L20">
        <v>3.0463976890893063</v>
      </c>
      <c r="M20">
        <v>2.5905431739962808</v>
      </c>
      <c r="N20">
        <v>0.45585451509302555</v>
      </c>
      <c r="P20" s="2">
        <v>22.478078850810501</v>
      </c>
      <c r="Q20" s="2">
        <v>27.6379240851332</v>
      </c>
      <c r="R20" s="2">
        <v>33.417315927719997</v>
      </c>
      <c r="S20">
        <v>26.027930999999999</v>
      </c>
      <c r="T20">
        <v>28.065935</v>
      </c>
      <c r="U20">
        <v>26.954000000000001</v>
      </c>
      <c r="V20">
        <v>23.927050000000001</v>
      </c>
      <c r="W20">
        <v>25.164736000000001</v>
      </c>
      <c r="X20">
        <f t="shared" si="1"/>
        <v>27.509967500000002</v>
      </c>
      <c r="AK20">
        <v>18564</v>
      </c>
      <c r="AL20">
        <v>-20.500679999999999</v>
      </c>
      <c r="AM20">
        <v>114.78462</v>
      </c>
      <c r="AN20">
        <v>2.799991145730019E-2</v>
      </c>
      <c r="AO20">
        <v>0.20019297301769259</v>
      </c>
      <c r="AP20">
        <f t="shared" si="0"/>
        <v>1.6099930851332012</v>
      </c>
      <c r="AQ20">
        <v>25.202041625976559</v>
      </c>
      <c r="AR20">
        <f t="shared" si="2"/>
        <v>0.63242449951171875</v>
      </c>
      <c r="AS20">
        <f t="shared" si="3"/>
        <v>4.4624056883676655E-2</v>
      </c>
    </row>
    <row r="21" spans="1:45" x14ac:dyDescent="0.2">
      <c r="A21">
        <v>18565</v>
      </c>
      <c r="B21">
        <v>1253.9000000000001</v>
      </c>
      <c r="C21">
        <v>-20.013950000000001</v>
      </c>
      <c r="D21">
        <v>114.23909999999999</v>
      </c>
      <c r="E21" s="3" t="s">
        <v>25</v>
      </c>
      <c r="F21" s="4" t="s">
        <v>101</v>
      </c>
      <c r="G21">
        <v>0.76902421427631351</v>
      </c>
      <c r="H21">
        <v>9.5618287304679687E-3</v>
      </c>
      <c r="I21">
        <v>4.9673705794082298E-2</v>
      </c>
      <c r="J21">
        <v>3.7309826155730086E-2</v>
      </c>
      <c r="K21">
        <v>0.13754760059422144</v>
      </c>
      <c r="L21">
        <v>3.2281953785671922</v>
      </c>
      <c r="M21">
        <v>2.9614452903469926</v>
      </c>
      <c r="N21">
        <v>0.26675008822019963</v>
      </c>
      <c r="P21" s="2">
        <v>27.5095384001288</v>
      </c>
      <c r="Q21" s="2">
        <v>32.779700574281797</v>
      </c>
      <c r="R21" s="2">
        <v>39.178645356614098</v>
      </c>
      <c r="S21">
        <v>26.138013999999998</v>
      </c>
      <c r="T21">
        <v>28.027315000000002</v>
      </c>
      <c r="U21">
        <v>27.246948</v>
      </c>
      <c r="V21">
        <v>24.057466999999999</v>
      </c>
      <c r="W21">
        <v>25.220307999999999</v>
      </c>
      <c r="X21">
        <f t="shared" si="1"/>
        <v>27.637131500000002</v>
      </c>
      <c r="AK21">
        <v>18565</v>
      </c>
      <c r="AL21">
        <v>-20.013950000000001</v>
      </c>
      <c r="AM21">
        <v>114.23909999999999</v>
      </c>
      <c r="AN21">
        <v>4.8196990974247464E-3</v>
      </c>
      <c r="AO21">
        <v>0.20019297301769259</v>
      </c>
      <c r="AP21">
        <f t="shared" si="0"/>
        <v>6.641686574281799</v>
      </c>
      <c r="AQ21">
        <v>25.96873664855957</v>
      </c>
      <c r="AR21">
        <f t="shared" si="2"/>
        <v>0.6416248397827149</v>
      </c>
      <c r="AS21">
        <f t="shared" si="3"/>
        <v>0.12739937449359862</v>
      </c>
    </row>
    <row r="22" spans="1:45" x14ac:dyDescent="0.2">
      <c r="A22">
        <v>18566</v>
      </c>
      <c r="B22">
        <v>1133.5</v>
      </c>
      <c r="C22">
        <v>-19.645119999999999</v>
      </c>
      <c r="D22">
        <v>113.81055000000001</v>
      </c>
      <c r="E22" s="3" t="s">
        <v>105</v>
      </c>
      <c r="F22" s="4" t="s">
        <v>106</v>
      </c>
      <c r="G22">
        <v>0.69127915789805239</v>
      </c>
      <c r="I22">
        <v>7.9589533053463543E-2</v>
      </c>
      <c r="K22">
        <v>0.19966171191575266</v>
      </c>
      <c r="L22">
        <v>2.7439676411314071</v>
      </c>
      <c r="M22">
        <v>2.6442330705773776</v>
      </c>
      <c r="N22">
        <v>9.9734570554029567E-2</v>
      </c>
      <c r="P22" s="2">
        <v>23.050504047572399</v>
      </c>
      <c r="Q22" s="2">
        <v>28.507212967009401</v>
      </c>
      <c r="R22" s="2">
        <v>34.071878389646002</v>
      </c>
      <c r="S22">
        <v>26.270775</v>
      </c>
      <c r="T22">
        <v>28.096547999999999</v>
      </c>
      <c r="U22">
        <v>27.258880000000001</v>
      </c>
      <c r="V22">
        <v>24.272321999999999</v>
      </c>
      <c r="W22">
        <v>25.455400000000001</v>
      </c>
      <c r="X22">
        <f t="shared" si="1"/>
        <v>27.677714000000002</v>
      </c>
      <c r="AK22">
        <v>18566</v>
      </c>
      <c r="AL22">
        <v>-19.645119999999999</v>
      </c>
      <c r="AM22">
        <v>113.81055000000001</v>
      </c>
      <c r="AN22">
        <v>3.5081834066659212E-3</v>
      </c>
      <c r="AO22">
        <v>0.22454039752483371</v>
      </c>
      <c r="AP22">
        <f t="shared" si="0"/>
        <v>2.236437967009401</v>
      </c>
      <c r="AQ22">
        <v>26.094951629638668</v>
      </c>
      <c r="AR22">
        <f t="shared" si="2"/>
        <v>0.64313941955566412</v>
      </c>
      <c r="AS22">
        <f t="shared" si="3"/>
        <v>4.8139738342388272E-2</v>
      </c>
    </row>
    <row r="23" spans="1:45" x14ac:dyDescent="0.2">
      <c r="A23">
        <v>18567</v>
      </c>
      <c r="B23">
        <v>1131</v>
      </c>
      <c r="C23">
        <v>-19.520579999999999</v>
      </c>
      <c r="D23">
        <v>113.05877</v>
      </c>
      <c r="E23" s="3" t="s">
        <v>25</v>
      </c>
      <c r="F23" s="4" t="s">
        <v>110</v>
      </c>
      <c r="G23">
        <v>0.6839769679974953</v>
      </c>
      <c r="I23">
        <v>6.2820101315991458E-2</v>
      </c>
      <c r="K23">
        <v>0.20193540525843898</v>
      </c>
      <c r="L23">
        <v>2.7531903721154665</v>
      </c>
      <c r="M23">
        <v>2.616515050575404</v>
      </c>
      <c r="N23">
        <v>0.13667532154006246</v>
      </c>
      <c r="P23" s="2">
        <v>22.452929068559399</v>
      </c>
      <c r="Q23" s="2">
        <v>27.694671491290901</v>
      </c>
      <c r="R23" s="2">
        <v>33.4534675879056</v>
      </c>
      <c r="S23">
        <v>26.157063999999998</v>
      </c>
      <c r="T23">
        <v>27.999480999999999</v>
      </c>
      <c r="U23">
        <v>27.134108000000001</v>
      </c>
      <c r="V23">
        <v>24.098333</v>
      </c>
      <c r="W23">
        <v>25.396286</v>
      </c>
      <c r="X23">
        <f t="shared" si="1"/>
        <v>27.5667945</v>
      </c>
      <c r="AK23">
        <v>18567</v>
      </c>
      <c r="AL23">
        <v>-19.520579999999999</v>
      </c>
      <c r="AM23">
        <v>113.05877</v>
      </c>
      <c r="AN23">
        <v>3.67910391651094E-3</v>
      </c>
      <c r="AO23">
        <v>0.22454039752483371</v>
      </c>
      <c r="AP23">
        <f t="shared" si="0"/>
        <v>1.5376074912909026</v>
      </c>
      <c r="AQ23">
        <v>25.70734786987305</v>
      </c>
      <c r="AR23">
        <f t="shared" si="2"/>
        <v>0.63848817443847661</v>
      </c>
      <c r="AS23">
        <f t="shared" si="3"/>
        <v>4.5488793559018692E-2</v>
      </c>
    </row>
    <row r="24" spans="1:45" x14ac:dyDescent="0.2">
      <c r="A24">
        <v>18568</v>
      </c>
      <c r="B24">
        <v>1100</v>
      </c>
      <c r="C24">
        <v>-20.610029999999998</v>
      </c>
      <c r="D24">
        <v>113.62438</v>
      </c>
      <c r="E24" s="3" t="s">
        <v>25</v>
      </c>
      <c r="F24" s="4" t="s">
        <v>114</v>
      </c>
      <c r="G24">
        <v>0.68994438386168089</v>
      </c>
      <c r="I24">
        <v>6.7866166866516156E-2</v>
      </c>
      <c r="K24">
        <v>0.1960926117797562</v>
      </c>
      <c r="L24">
        <v>2.7589807655713123</v>
      </c>
      <c r="M24">
        <v>2.6391400237964571</v>
      </c>
      <c r="N24">
        <v>0.11984074177485526</v>
      </c>
      <c r="P24" s="2">
        <v>23.4220277179178</v>
      </c>
      <c r="Q24" s="2">
        <v>28.3774878837046</v>
      </c>
      <c r="R24" s="2">
        <v>33.973402224913698</v>
      </c>
      <c r="S24">
        <v>25.898916</v>
      </c>
      <c r="T24">
        <v>27.819566999999999</v>
      </c>
      <c r="U24">
        <v>26.961151000000001</v>
      </c>
      <c r="V24">
        <v>23.873000999999999</v>
      </c>
      <c r="W24">
        <v>24.941932999999999</v>
      </c>
      <c r="X24">
        <f t="shared" si="1"/>
        <v>27.390359</v>
      </c>
      <c r="AK24">
        <v>18568</v>
      </c>
      <c r="AL24">
        <v>-20.610029999999998</v>
      </c>
      <c r="AM24">
        <v>113.62438</v>
      </c>
      <c r="AN24">
        <v>3.4706280566751961E-3</v>
      </c>
      <c r="AO24">
        <v>0.2274220734834671</v>
      </c>
      <c r="AP24">
        <f t="shared" si="0"/>
        <v>2.4785718837045998</v>
      </c>
      <c r="AQ24">
        <v>25.695135116577148</v>
      </c>
      <c r="AR24">
        <f t="shared" si="2"/>
        <v>0.63834162139892581</v>
      </c>
      <c r="AS24">
        <f t="shared" si="3"/>
        <v>5.1602762462755081E-2</v>
      </c>
    </row>
    <row r="25" spans="1:45" x14ac:dyDescent="0.2">
      <c r="A25">
        <v>18570</v>
      </c>
      <c r="B25">
        <v>1182.4000000000001</v>
      </c>
      <c r="C25">
        <v>-20.991119999999999</v>
      </c>
      <c r="D25">
        <v>113.44884999999999</v>
      </c>
      <c r="E25" s="3" t="s">
        <v>25</v>
      </c>
      <c r="F25" s="4" t="s">
        <v>118</v>
      </c>
      <c r="G25">
        <v>0.68858325114803764</v>
      </c>
      <c r="H25">
        <v>4.8817658207127197E-3</v>
      </c>
      <c r="I25">
        <v>5.7103783159269755E-2</v>
      </c>
      <c r="J25">
        <v>6.0504034484600453E-3</v>
      </c>
      <c r="K25">
        <v>0.18078617080808235</v>
      </c>
      <c r="L25">
        <v>2.8629318460082605</v>
      </c>
      <c r="M25">
        <v>2.6339981444228253</v>
      </c>
      <c r="N25">
        <v>0.22893370158543491</v>
      </c>
      <c r="P25" s="2">
        <v>23.242877335586101</v>
      </c>
      <c r="Q25" s="2">
        <v>28.080304785192499</v>
      </c>
      <c r="R25" s="2">
        <v>33.9300741214998</v>
      </c>
      <c r="S25">
        <v>25.790619</v>
      </c>
      <c r="T25">
        <v>27.654160999999998</v>
      </c>
      <c r="U25">
        <v>26.889016999999999</v>
      </c>
      <c r="V25">
        <v>23.804971999999999</v>
      </c>
      <c r="W25">
        <v>24.814330999999999</v>
      </c>
      <c r="X25">
        <f t="shared" si="1"/>
        <v>27.271588999999999</v>
      </c>
      <c r="AK25">
        <v>18570</v>
      </c>
      <c r="AL25">
        <v>-20.991119999999999</v>
      </c>
      <c r="AM25">
        <v>113.44884999999999</v>
      </c>
      <c r="AN25">
        <v>3.8960967212915421E-3</v>
      </c>
      <c r="AO25">
        <v>0.2274220734834671</v>
      </c>
      <c r="AP25">
        <f t="shared" si="0"/>
        <v>2.2896857851924999</v>
      </c>
      <c r="AQ25">
        <v>25.560663223266602</v>
      </c>
      <c r="AR25">
        <f t="shared" si="2"/>
        <v>0.63672795867919918</v>
      </c>
      <c r="AS25">
        <f t="shared" si="3"/>
        <v>5.1855292468838465E-2</v>
      </c>
    </row>
    <row r="26" spans="1:45" x14ac:dyDescent="0.2">
      <c r="A26">
        <v>18571</v>
      </c>
      <c r="B26">
        <v>1049.3</v>
      </c>
      <c r="C26">
        <v>-22.111419999999999</v>
      </c>
      <c r="D26">
        <v>113.49442000000001</v>
      </c>
      <c r="E26" s="3" t="s">
        <v>25</v>
      </c>
      <c r="F26" s="4" t="s">
        <v>122</v>
      </c>
      <c r="G26">
        <v>0.67769139963683722</v>
      </c>
      <c r="H26">
        <v>4.1405029708462913E-3</v>
      </c>
      <c r="I26">
        <v>7.4841146142958836E-2</v>
      </c>
      <c r="J26">
        <v>2.9159161508354307E-3</v>
      </c>
      <c r="K26">
        <v>0.19434059933478698</v>
      </c>
      <c r="L26">
        <v>2.8091173913370469</v>
      </c>
      <c r="M26">
        <v>2.5929679829598511</v>
      </c>
      <c r="N26">
        <v>0.21614940837719598</v>
      </c>
      <c r="P26" s="2">
        <v>22.225891211685202</v>
      </c>
      <c r="Q26" s="2">
        <v>27.518822664655598</v>
      </c>
      <c r="R26" s="2">
        <v>33.408881833802901</v>
      </c>
      <c r="S26">
        <v>25.078882</v>
      </c>
      <c r="T26">
        <v>26.834534000000001</v>
      </c>
      <c r="U26">
        <v>26.347466000000001</v>
      </c>
      <c r="V26">
        <v>23.361115000000002</v>
      </c>
      <c r="W26">
        <v>23.772546999999999</v>
      </c>
      <c r="X26">
        <f t="shared" si="1"/>
        <v>26.591000000000001</v>
      </c>
      <c r="AK26">
        <v>18571</v>
      </c>
      <c r="AL26">
        <v>-22.111419999999999</v>
      </c>
      <c r="AM26">
        <v>113.49442000000001</v>
      </c>
      <c r="AN26">
        <v>2.5712044239044189</v>
      </c>
      <c r="AO26">
        <v>0.21737714111804959</v>
      </c>
      <c r="AP26">
        <f t="shared" si="0"/>
        <v>2.4399406646555981</v>
      </c>
      <c r="AQ26">
        <v>21.177244186401371</v>
      </c>
      <c r="AR26">
        <f t="shared" si="2"/>
        <v>0.58412693023681639</v>
      </c>
      <c r="AS26">
        <f t="shared" si="3"/>
        <v>9.3564469400020833E-2</v>
      </c>
    </row>
    <row r="27" spans="1:45" x14ac:dyDescent="0.2">
      <c r="A27">
        <v>18572</v>
      </c>
      <c r="B27">
        <v>1327.9</v>
      </c>
      <c r="C27">
        <v>-22.07827</v>
      </c>
      <c r="D27">
        <v>113.22843</v>
      </c>
      <c r="E27" s="3" t="s">
        <v>25</v>
      </c>
      <c r="F27" s="4" t="s">
        <v>126</v>
      </c>
      <c r="G27">
        <v>0.74355093716376497</v>
      </c>
      <c r="H27">
        <v>4.5403165713566417E-3</v>
      </c>
      <c r="I27">
        <v>0.15055429284700367</v>
      </c>
      <c r="J27">
        <v>1.1245093239636739E-2</v>
      </c>
      <c r="K27">
        <v>0.14393384933364317</v>
      </c>
      <c r="L27">
        <v>3.1579802952301721</v>
      </c>
      <c r="M27">
        <v>2.8530217456532996</v>
      </c>
      <c r="N27">
        <v>0.3049585495768723</v>
      </c>
      <c r="P27" s="2">
        <v>26.142017968530499</v>
      </c>
      <c r="Q27" s="2">
        <v>31.3747502197328</v>
      </c>
      <c r="R27" s="2">
        <v>36.920460453121898</v>
      </c>
      <c r="S27">
        <v>25.101096999999999</v>
      </c>
      <c r="T27">
        <v>26.871834</v>
      </c>
      <c r="U27">
        <v>26.304030999999998</v>
      </c>
      <c r="V27">
        <v>23.366112000000001</v>
      </c>
      <c r="W27">
        <v>23.862463000000002</v>
      </c>
      <c r="X27">
        <f t="shared" si="1"/>
        <v>26.587932500000001</v>
      </c>
      <c r="AK27">
        <v>18572</v>
      </c>
      <c r="AL27">
        <v>-22.07827</v>
      </c>
      <c r="AM27">
        <v>113.22843</v>
      </c>
      <c r="AN27">
        <v>2.3894815444946289</v>
      </c>
      <c r="AO27">
        <v>0.21737714111804959</v>
      </c>
      <c r="AP27">
        <f t="shared" si="0"/>
        <v>6.2736532197328003</v>
      </c>
      <c r="AQ27">
        <v>21.099447250366211</v>
      </c>
      <c r="AR27">
        <f t="shared" si="2"/>
        <v>0.5831933670043945</v>
      </c>
      <c r="AS27">
        <f>G27-AR27</f>
        <v>0.16035757015937047</v>
      </c>
    </row>
    <row r="28" spans="1:45" x14ac:dyDescent="0.2">
      <c r="A28">
        <v>18573</v>
      </c>
      <c r="B28">
        <v>1250.5</v>
      </c>
      <c r="C28">
        <v>-22.620719999999999</v>
      </c>
      <c r="D28">
        <v>112.83682</v>
      </c>
      <c r="E28" s="3" t="s">
        <v>25</v>
      </c>
      <c r="F28" s="4" t="s">
        <v>130</v>
      </c>
      <c r="G28">
        <v>0.66857161057353032</v>
      </c>
      <c r="H28">
        <v>1.49889934837114E-3</v>
      </c>
      <c r="I28">
        <v>6.0007241033976935E-2</v>
      </c>
      <c r="J28">
        <v>1.0653819013693441E-2</v>
      </c>
      <c r="K28">
        <v>0.19395375359434239</v>
      </c>
      <c r="L28">
        <v>2.7485168362090224</v>
      </c>
      <c r="M28">
        <v>2.5592037442825633</v>
      </c>
      <c r="N28">
        <v>0.18931309192645895</v>
      </c>
      <c r="P28" s="2">
        <v>22.123608703305401</v>
      </c>
      <c r="Q28" s="2">
        <v>27.0234464516736</v>
      </c>
      <c r="R28" s="2">
        <v>32.580988870398699</v>
      </c>
      <c r="S28">
        <v>24.818114999999999</v>
      </c>
      <c r="T28">
        <v>26.574172999999998</v>
      </c>
      <c r="U28">
        <v>25.984064</v>
      </c>
      <c r="V28">
        <v>23.135950000000001</v>
      </c>
      <c r="W28">
        <v>23.578317999999999</v>
      </c>
      <c r="X28">
        <f t="shared" si="1"/>
        <v>26.279118499999999</v>
      </c>
      <c r="AK28">
        <v>18573</v>
      </c>
      <c r="AL28">
        <v>-22.620719999999999</v>
      </c>
      <c r="AM28">
        <v>112.83682</v>
      </c>
      <c r="AN28">
        <v>2.1284298896789551</v>
      </c>
      <c r="AO28">
        <v>0.2387101799249649</v>
      </c>
      <c r="AP28">
        <f t="shared" si="0"/>
        <v>2.2053314516736009</v>
      </c>
      <c r="AQ28">
        <v>20.973781585693359</v>
      </c>
      <c r="AR28">
        <f t="shared" si="2"/>
        <v>0.58168537902832029</v>
      </c>
      <c r="AS28">
        <f t="shared" si="3"/>
        <v>8.6886231545210024E-2</v>
      </c>
    </row>
    <row r="29" spans="1:45" x14ac:dyDescent="0.2">
      <c r="A29">
        <v>18574</v>
      </c>
      <c r="B29">
        <v>504.5</v>
      </c>
      <c r="C29">
        <v>-24.231549999999999</v>
      </c>
      <c r="D29">
        <v>112.36862000000001</v>
      </c>
      <c r="E29" s="3" t="s">
        <v>25</v>
      </c>
      <c r="F29" s="4" t="s">
        <v>134</v>
      </c>
      <c r="G29">
        <v>0.71047383947666387</v>
      </c>
      <c r="H29">
        <v>6.1202476533959646E-3</v>
      </c>
      <c r="I29">
        <v>4.4688349143981579E-2</v>
      </c>
      <c r="J29">
        <v>9.0597916076944444E-3</v>
      </c>
      <c r="K29">
        <v>0.15578131003043227</v>
      </c>
      <c r="L29">
        <v>3.0438839885180675</v>
      </c>
      <c r="M29">
        <v>2.718843937186957</v>
      </c>
      <c r="N29">
        <v>0.32504005133111069</v>
      </c>
      <c r="P29" s="2">
        <v>23.9826856082151</v>
      </c>
      <c r="Q29" s="2">
        <v>29.272755087240999</v>
      </c>
      <c r="R29" s="2">
        <v>35.457738007498399</v>
      </c>
      <c r="S29">
        <v>23.888487000000001</v>
      </c>
      <c r="T29">
        <v>25.307784999999999</v>
      </c>
      <c r="U29">
        <v>25.077272000000001</v>
      </c>
      <c r="V29">
        <v>22.429452999999999</v>
      </c>
      <c r="W29">
        <v>22.739494000000001</v>
      </c>
      <c r="X29">
        <f t="shared" si="1"/>
        <v>25.192528500000002</v>
      </c>
      <c r="AK29">
        <v>18574</v>
      </c>
      <c r="AL29">
        <v>-24.231549999999999</v>
      </c>
      <c r="AM29">
        <v>112.36862000000001</v>
      </c>
      <c r="AN29">
        <v>1.2752348184585569</v>
      </c>
      <c r="AO29">
        <v>0.1945185512304306</v>
      </c>
      <c r="AP29">
        <f t="shared" si="0"/>
        <v>5.3842680872409971</v>
      </c>
      <c r="AQ29">
        <v>20.282686233520511</v>
      </c>
      <c r="AR29">
        <f t="shared" si="2"/>
        <v>0.57339223480224621</v>
      </c>
      <c r="AS29">
        <f t="shared" si="3"/>
        <v>0.13708160467441766</v>
      </c>
    </row>
    <row r="30" spans="1:45" x14ac:dyDescent="0.2">
      <c r="A30">
        <v>18575</v>
      </c>
      <c r="B30">
        <v>1032</v>
      </c>
      <c r="C30">
        <v>-24.231529999999999</v>
      </c>
      <c r="D30">
        <v>111.85302</v>
      </c>
      <c r="E30" s="3" t="s">
        <v>25</v>
      </c>
      <c r="F30" s="4" t="s">
        <v>138</v>
      </c>
      <c r="G30">
        <v>0.70011944310443108</v>
      </c>
      <c r="H30">
        <v>5.7120856115407473E-3</v>
      </c>
      <c r="I30">
        <v>0.1084593728599523</v>
      </c>
      <c r="J30">
        <v>5.7669884203332107E-3</v>
      </c>
      <c r="K30">
        <v>0.18966751279640187</v>
      </c>
      <c r="L30">
        <v>2.8392678285440858</v>
      </c>
      <c r="M30">
        <v>2.6783174100748548</v>
      </c>
      <c r="N30">
        <v>0.16095041846923097</v>
      </c>
      <c r="P30" s="2">
        <v>23.619059250323598</v>
      </c>
      <c r="Q30" s="2">
        <v>28.500333620124</v>
      </c>
      <c r="R30" s="2">
        <v>34.2628300200643</v>
      </c>
      <c r="S30">
        <v>23.845445999999999</v>
      </c>
      <c r="T30">
        <v>25.291899999999998</v>
      </c>
      <c r="U30">
        <v>24.945679999999999</v>
      </c>
      <c r="V30">
        <v>22.348669999999998</v>
      </c>
      <c r="W30">
        <v>22.795529999999999</v>
      </c>
      <c r="X30">
        <f t="shared" si="1"/>
        <v>25.118789999999997</v>
      </c>
      <c r="AK30">
        <v>18575</v>
      </c>
      <c r="AL30">
        <v>-24.231529999999999</v>
      </c>
      <c r="AM30">
        <v>111.85302</v>
      </c>
      <c r="AN30">
        <v>4.5053092762827873E-3</v>
      </c>
      <c r="AO30">
        <v>0.22736407816410059</v>
      </c>
      <c r="AP30">
        <f t="shared" si="0"/>
        <v>4.6548876201240006</v>
      </c>
      <c r="AQ30">
        <v>23.440790176391602</v>
      </c>
      <c r="AR30">
        <f t="shared" si="2"/>
        <v>0.6112894821166992</v>
      </c>
      <c r="AS30">
        <f t="shared" si="3"/>
        <v>8.8829960987731882E-2</v>
      </c>
    </row>
    <row r="31" spans="1:45" x14ac:dyDescent="0.2">
      <c r="A31">
        <v>18576</v>
      </c>
      <c r="B31">
        <v>1725.9</v>
      </c>
      <c r="C31">
        <v>-24.139849999999999</v>
      </c>
      <c r="D31">
        <v>111.34083</v>
      </c>
      <c r="E31" s="3" t="s">
        <v>25</v>
      </c>
      <c r="F31" s="4" t="s">
        <v>142</v>
      </c>
      <c r="G31">
        <v>0.69512263540613328</v>
      </c>
      <c r="H31">
        <v>9.7967276618290793E-3</v>
      </c>
      <c r="I31">
        <v>8.8475205460745512E-2</v>
      </c>
      <c r="J31">
        <v>2.9520664014616562E-3</v>
      </c>
      <c r="K31">
        <v>0.20674971542700959</v>
      </c>
      <c r="L31">
        <v>2.6604792374114412</v>
      </c>
      <c r="M31">
        <v>2.6591238784894324</v>
      </c>
      <c r="N31">
        <v>2.3400753655477446E-2</v>
      </c>
      <c r="P31" s="2">
        <v>23.4848294597445</v>
      </c>
      <c r="Q31" s="2">
        <v>28.584488519926101</v>
      </c>
      <c r="R31" s="2">
        <v>34.052980177737297</v>
      </c>
      <c r="S31">
        <v>23.723130999999999</v>
      </c>
      <c r="T31">
        <v>25.187078</v>
      </c>
      <c r="U31">
        <v>24.752838000000001</v>
      </c>
      <c r="V31">
        <v>22.209914999999999</v>
      </c>
      <c r="W31">
        <v>22.742683</v>
      </c>
      <c r="X31">
        <f t="shared" si="1"/>
        <v>24.969957999999998</v>
      </c>
      <c r="AK31">
        <v>18576</v>
      </c>
      <c r="AL31">
        <v>-24.139849999999999</v>
      </c>
      <c r="AM31">
        <v>111.34083</v>
      </c>
      <c r="AN31">
        <v>2.838126383721828E-3</v>
      </c>
      <c r="AO31">
        <v>0.22736407816410059</v>
      </c>
      <c r="AP31">
        <f t="shared" si="0"/>
        <v>4.8613575199261021</v>
      </c>
      <c r="AQ31">
        <v>23.442081451416019</v>
      </c>
      <c r="AR31">
        <f t="shared" si="2"/>
        <v>0.6113049774169923</v>
      </c>
      <c r="AS31">
        <f t="shared" si="3"/>
        <v>8.3817657989140981E-2</v>
      </c>
    </row>
    <row r="32" spans="1:45" x14ac:dyDescent="0.2">
      <c r="A32">
        <v>18578</v>
      </c>
      <c r="B32">
        <v>1678.9</v>
      </c>
      <c r="C32">
        <v>-25.37097</v>
      </c>
      <c r="D32">
        <v>111.09522</v>
      </c>
      <c r="E32" s="3" t="s">
        <v>25</v>
      </c>
      <c r="F32" s="4" t="s">
        <v>146</v>
      </c>
      <c r="G32">
        <v>0.70049352174672497</v>
      </c>
      <c r="H32">
        <v>1.4479738950648987E-2</v>
      </c>
      <c r="I32">
        <v>7.5177869779937595E-2</v>
      </c>
      <c r="J32">
        <v>1.5182272787356423E-2</v>
      </c>
      <c r="K32">
        <v>0.17943752721350076</v>
      </c>
      <c r="L32">
        <v>2.8680938215888352</v>
      </c>
      <c r="M32">
        <v>2.6800627262798624</v>
      </c>
      <c r="N32">
        <v>0.188031095308973</v>
      </c>
      <c r="P32" s="2">
        <v>23.530198069310199</v>
      </c>
      <c r="Q32" s="2">
        <v>28.7013924854053</v>
      </c>
      <c r="R32" s="2">
        <v>34.2111240400816</v>
      </c>
      <c r="S32">
        <v>23.041371999999999</v>
      </c>
      <c r="T32">
        <v>24.585049999999999</v>
      </c>
      <c r="U32">
        <v>23.847498000000002</v>
      </c>
      <c r="V32">
        <v>21.504003999999998</v>
      </c>
      <c r="W32">
        <v>22.228935</v>
      </c>
      <c r="X32">
        <f t="shared" si="1"/>
        <v>24.216273999999999</v>
      </c>
      <c r="AK32">
        <v>18578</v>
      </c>
      <c r="AL32">
        <v>-25.37097</v>
      </c>
      <c r="AM32">
        <v>111.09522</v>
      </c>
      <c r="AN32">
        <v>2.3379041813313961E-3</v>
      </c>
      <c r="AO32">
        <v>0.21727000176906591</v>
      </c>
      <c r="AP32">
        <f t="shared" si="0"/>
        <v>5.6600204854053011</v>
      </c>
      <c r="AQ32">
        <v>22.846994400024411</v>
      </c>
      <c r="AR32">
        <f t="shared" si="2"/>
        <v>0.60416393280029301</v>
      </c>
      <c r="AS32">
        <f t="shared" si="3"/>
        <v>9.6329588946431954E-2</v>
      </c>
    </row>
    <row r="33" spans="1:45" x14ac:dyDescent="0.2">
      <c r="A33">
        <v>18579</v>
      </c>
      <c r="B33">
        <v>715.1</v>
      </c>
      <c r="C33">
        <v>-25.10155</v>
      </c>
      <c r="D33">
        <v>111.84885</v>
      </c>
      <c r="E33" s="3" t="s">
        <v>25</v>
      </c>
      <c r="F33" s="4" t="s">
        <v>150</v>
      </c>
      <c r="G33">
        <v>0.76165349710838037</v>
      </c>
      <c r="H33">
        <v>1.9526486383917033E-2</v>
      </c>
      <c r="I33">
        <v>0.10866060256822914</v>
      </c>
      <c r="J33">
        <v>6.7171867252211219E-5</v>
      </c>
      <c r="K33">
        <v>0.14052556870670549</v>
      </c>
      <c r="L33">
        <v>3.1419628007872165</v>
      </c>
      <c r="M33">
        <v>2.9301450229822321</v>
      </c>
      <c r="N33">
        <v>0.21181777780498456</v>
      </c>
      <c r="P33" s="2">
        <v>26.7990252775672</v>
      </c>
      <c r="Q33" s="2">
        <v>32.325689477711698</v>
      </c>
      <c r="R33" s="2">
        <v>38.731219881695097</v>
      </c>
      <c r="S33">
        <v>23.422713999999999</v>
      </c>
      <c r="T33">
        <v>24.805016999999999</v>
      </c>
      <c r="U33">
        <v>24.484026</v>
      </c>
      <c r="V33">
        <v>21.93027</v>
      </c>
      <c r="W33">
        <v>22.47156</v>
      </c>
      <c r="X33">
        <f t="shared" si="1"/>
        <v>24.6445215</v>
      </c>
      <c r="AK33">
        <v>18579</v>
      </c>
      <c r="AL33">
        <v>-25.10155</v>
      </c>
      <c r="AM33">
        <v>111.84885</v>
      </c>
      <c r="AN33">
        <v>1.8975750207901001</v>
      </c>
      <c r="AO33">
        <v>0.21727000176906591</v>
      </c>
      <c r="AP33">
        <f t="shared" si="0"/>
        <v>8.9029754777116992</v>
      </c>
      <c r="AQ33">
        <v>19.489372253417969</v>
      </c>
      <c r="AR33">
        <f t="shared" si="2"/>
        <v>0.56387246704101568</v>
      </c>
      <c r="AS33">
        <f t="shared" si="3"/>
        <v>0.19778103006736469</v>
      </c>
    </row>
    <row r="34" spans="1:45" x14ac:dyDescent="0.2">
      <c r="A34">
        <v>18580</v>
      </c>
      <c r="B34">
        <v>1369.1</v>
      </c>
      <c r="C34">
        <v>-24.568930000000002</v>
      </c>
      <c r="D34">
        <v>111.24592</v>
      </c>
      <c r="E34" s="3" t="s">
        <v>25</v>
      </c>
      <c r="F34" s="4" t="s">
        <v>154</v>
      </c>
      <c r="G34">
        <v>0.6925333082115952</v>
      </c>
      <c r="H34">
        <v>4.6289237897218834E-3</v>
      </c>
      <c r="I34">
        <v>0.10696665609787342</v>
      </c>
      <c r="J34">
        <v>5.709611698769896E-3</v>
      </c>
      <c r="K34">
        <v>0.17963609450917556</v>
      </c>
      <c r="L34">
        <v>2.8016317934591819</v>
      </c>
      <c r="M34">
        <v>2.6490648328918081</v>
      </c>
      <c r="N34">
        <v>0.15256696056737384</v>
      </c>
      <c r="P34" s="2">
        <v>22.9609645173419</v>
      </c>
      <c r="Q34" s="2">
        <v>28.206339300783</v>
      </c>
      <c r="R34" s="2">
        <v>34.105318784009398</v>
      </c>
      <c r="S34">
        <v>23.40541</v>
      </c>
      <c r="T34">
        <v>24.904914999999999</v>
      </c>
      <c r="U34">
        <v>24.309532000000001</v>
      </c>
      <c r="V34">
        <v>21.881492999999999</v>
      </c>
      <c r="W34">
        <v>22.525697999999998</v>
      </c>
      <c r="X34">
        <f t="shared" si="1"/>
        <v>24.6072235</v>
      </c>
      <c r="AK34">
        <v>18580</v>
      </c>
      <c r="AL34">
        <v>-24.568930000000002</v>
      </c>
      <c r="AM34">
        <v>111.24592</v>
      </c>
      <c r="AN34">
        <v>2.6941185351461172E-3</v>
      </c>
      <c r="AO34">
        <v>0.22736407816410059</v>
      </c>
      <c r="AP34">
        <f t="shared" si="0"/>
        <v>4.8009293007830003</v>
      </c>
      <c r="AQ34">
        <v>23.122627258300781</v>
      </c>
      <c r="AR34">
        <f t="shared" si="2"/>
        <v>0.60747152709960939</v>
      </c>
      <c r="AS34">
        <f t="shared" si="3"/>
        <v>8.5061781111985812E-2</v>
      </c>
    </row>
    <row r="35" spans="1:45" x14ac:dyDescent="0.2">
      <c r="A35">
        <v>18582</v>
      </c>
      <c r="B35">
        <v>1571.5</v>
      </c>
      <c r="C35">
        <v>-25.898330000000001</v>
      </c>
      <c r="D35">
        <v>111.37203</v>
      </c>
      <c r="E35" s="3" t="s">
        <v>25</v>
      </c>
      <c r="F35" s="4" t="s">
        <v>158</v>
      </c>
      <c r="G35">
        <v>0.69675479475903401</v>
      </c>
      <c r="H35">
        <v>1.4560375919232777E-2</v>
      </c>
      <c r="I35">
        <v>9.730515955182778E-2</v>
      </c>
      <c r="J35">
        <v>7.5821760172852621E-3</v>
      </c>
      <c r="K35">
        <v>0.17192460599846554</v>
      </c>
      <c r="L35">
        <v>2.8664421188749918</v>
      </c>
      <c r="M35">
        <v>2.6656019857288293</v>
      </c>
      <c r="N35">
        <v>0.20084013314616223</v>
      </c>
      <c r="P35" s="2">
        <v>23.2506087004436</v>
      </c>
      <c r="Q35" s="2">
        <v>28.4724373008032</v>
      </c>
      <c r="R35" s="2">
        <v>34.021012229859998</v>
      </c>
      <c r="S35">
        <v>22.897448000000001</v>
      </c>
      <c r="T35">
        <v>24.392088000000001</v>
      </c>
      <c r="U35">
        <v>23.798079000000001</v>
      </c>
      <c r="V35">
        <v>21.346450000000001</v>
      </c>
      <c r="W35">
        <v>22.053152000000001</v>
      </c>
      <c r="X35">
        <f t="shared" si="1"/>
        <v>24.095083500000001</v>
      </c>
      <c r="AK35">
        <v>18582</v>
      </c>
      <c r="AL35">
        <v>-25.898330000000001</v>
      </c>
      <c r="AM35">
        <v>111.37203</v>
      </c>
      <c r="AN35">
        <v>4.2466414161026478E-3</v>
      </c>
      <c r="AO35">
        <v>0.21727000176906591</v>
      </c>
      <c r="AP35">
        <f t="shared" si="0"/>
        <v>5.5749893008031997</v>
      </c>
      <c r="AQ35">
        <v>22.597993850708011</v>
      </c>
      <c r="AR35">
        <f t="shared" si="2"/>
        <v>0.60117592620849614</v>
      </c>
      <c r="AS35">
        <f t="shared" si="3"/>
        <v>9.5578868550537877E-2</v>
      </c>
    </row>
    <row r="36" spans="1:45" x14ac:dyDescent="0.2">
      <c r="A36">
        <v>18584</v>
      </c>
      <c r="B36">
        <v>1121.0999999999999</v>
      </c>
      <c r="C36">
        <v>-27.769770000000001</v>
      </c>
      <c r="D36">
        <v>112.42052</v>
      </c>
      <c r="E36" s="3" t="s">
        <v>25</v>
      </c>
      <c r="F36" s="4" t="s">
        <v>162</v>
      </c>
      <c r="G36">
        <v>0.7116882279101524</v>
      </c>
      <c r="H36">
        <v>2.4328568606812161E-3</v>
      </c>
      <c r="I36">
        <v>9.1237019704611677E-2</v>
      </c>
      <c r="J36">
        <v>1.5133981256152543E-2</v>
      </c>
      <c r="K36">
        <v>0.15090403253150689</v>
      </c>
      <c r="L36">
        <v>3.021448204899698</v>
      </c>
      <c r="M36">
        <v>2.7235903337411052</v>
      </c>
      <c r="N36">
        <v>0.29785787115859286</v>
      </c>
      <c r="P36" s="2">
        <v>23.864614198006599</v>
      </c>
      <c r="Q36" s="2">
        <v>29.2816059878846</v>
      </c>
      <c r="R36" s="2">
        <v>34.908697233090301</v>
      </c>
      <c r="S36">
        <v>22.307167</v>
      </c>
      <c r="T36">
        <v>23.599867</v>
      </c>
      <c r="U36">
        <v>23.624199999999998</v>
      </c>
      <c r="V36">
        <v>20.874455999999999</v>
      </c>
      <c r="W36">
        <v>21.130144000000001</v>
      </c>
      <c r="X36">
        <f t="shared" si="1"/>
        <v>23.612033499999999</v>
      </c>
      <c r="AK36">
        <v>18584</v>
      </c>
      <c r="AL36">
        <v>-27.769770000000001</v>
      </c>
      <c r="AM36">
        <v>112.42052</v>
      </c>
      <c r="AN36">
        <v>1.7514603137969971</v>
      </c>
      <c r="AO36">
        <v>0.20715115964412689</v>
      </c>
      <c r="AP36">
        <f t="shared" si="0"/>
        <v>6.9744389878846</v>
      </c>
      <c r="AQ36">
        <v>18.80612754821777</v>
      </c>
      <c r="AR36">
        <f t="shared" si="2"/>
        <v>0.55567353057861324</v>
      </c>
      <c r="AS36">
        <f t="shared" si="3"/>
        <v>0.15601469733153916</v>
      </c>
    </row>
    <row r="37" spans="1:45" x14ac:dyDescent="0.2">
      <c r="A37">
        <v>18585</v>
      </c>
      <c r="B37">
        <v>1182.7</v>
      </c>
      <c r="C37">
        <v>-27.255420000000001</v>
      </c>
      <c r="D37">
        <v>112.03628</v>
      </c>
      <c r="E37" s="3" t="s">
        <v>25</v>
      </c>
      <c r="F37" s="4" t="s">
        <v>166</v>
      </c>
      <c r="G37">
        <v>0.67486810911333051</v>
      </c>
      <c r="H37">
        <v>9.5847765673380114E-3</v>
      </c>
      <c r="I37">
        <v>6.5480755972747468E-2</v>
      </c>
      <c r="J37">
        <v>1.9746814772081303E-2</v>
      </c>
      <c r="K37">
        <v>0.18325488248078692</v>
      </c>
      <c r="L37">
        <v>2.7906226693637404</v>
      </c>
      <c r="M37">
        <v>2.5825879795642308</v>
      </c>
      <c r="N37">
        <v>0.20803468979950979</v>
      </c>
      <c r="P37" s="2">
        <v>22.361785385341602</v>
      </c>
      <c r="Q37" s="2">
        <v>27.169305145104001</v>
      </c>
      <c r="R37" s="2">
        <v>33.173220974281399</v>
      </c>
      <c r="S37">
        <v>22.46808</v>
      </c>
      <c r="T37">
        <v>23.753036000000002</v>
      </c>
      <c r="U37">
        <v>23.727148</v>
      </c>
      <c r="V37">
        <v>21.033234</v>
      </c>
      <c r="W37">
        <v>21.358910000000002</v>
      </c>
      <c r="X37">
        <f t="shared" si="1"/>
        <v>23.740092000000001</v>
      </c>
      <c r="AK37">
        <v>18585</v>
      </c>
      <c r="AL37">
        <v>-27.255420000000001</v>
      </c>
      <c r="AM37">
        <v>112.03628</v>
      </c>
      <c r="AN37">
        <v>1.4745656251907351</v>
      </c>
      <c r="AO37">
        <v>0.20715115964412689</v>
      </c>
      <c r="AP37">
        <f t="shared" si="0"/>
        <v>4.7012251451040008</v>
      </c>
      <c r="AQ37">
        <v>19.28054237365723</v>
      </c>
      <c r="AR37">
        <f t="shared" si="2"/>
        <v>0.56136650848388681</v>
      </c>
      <c r="AS37">
        <f t="shared" si="3"/>
        <v>0.1135016006294437</v>
      </c>
    </row>
    <row r="38" spans="1:45" x14ac:dyDescent="0.2">
      <c r="A38">
        <v>18586</v>
      </c>
      <c r="B38">
        <v>1014.6</v>
      </c>
      <c r="C38">
        <v>-28.1418</v>
      </c>
      <c r="D38">
        <v>112.63387</v>
      </c>
      <c r="E38" s="3" t="s">
        <v>25</v>
      </c>
      <c r="F38" s="4" t="s">
        <v>170</v>
      </c>
      <c r="G38">
        <v>0.66035746363579262</v>
      </c>
      <c r="H38">
        <v>8.701315228923626E-3</v>
      </c>
      <c r="I38">
        <v>8.1486806787048782E-2</v>
      </c>
      <c r="J38">
        <v>1.7847135423709189E-2</v>
      </c>
      <c r="K38">
        <v>0.18272707577942549</v>
      </c>
      <c r="L38">
        <v>2.7731528772438425</v>
      </c>
      <c r="M38">
        <v>2.5294094092603139</v>
      </c>
      <c r="N38">
        <v>0.24374346798352819</v>
      </c>
      <c r="P38" s="2">
        <v>20.882965510500998</v>
      </c>
      <c r="Q38" s="2">
        <v>26.3214855135565</v>
      </c>
      <c r="R38" s="2">
        <v>31.500750986876699</v>
      </c>
      <c r="S38">
        <v>22.253112999999999</v>
      </c>
      <c r="T38">
        <v>23.526700999999999</v>
      </c>
      <c r="U38">
        <v>23.620567000000001</v>
      </c>
      <c r="V38">
        <v>20.809480000000001</v>
      </c>
      <c r="W38">
        <v>21.055681</v>
      </c>
      <c r="X38">
        <f t="shared" si="1"/>
        <v>23.573633999999998</v>
      </c>
      <c r="AK38">
        <v>18586</v>
      </c>
      <c r="AL38">
        <v>-28.1418</v>
      </c>
      <c r="AM38">
        <v>112.63387</v>
      </c>
      <c r="AN38">
        <v>1.634913325309753</v>
      </c>
      <c r="AO38">
        <v>0.2375408411026001</v>
      </c>
      <c r="AP38">
        <f t="shared" si="0"/>
        <v>4.0683725135565005</v>
      </c>
      <c r="AQ38">
        <v>18.856904983520511</v>
      </c>
      <c r="AR38">
        <f t="shared" si="2"/>
        <v>0.55628285980224612</v>
      </c>
      <c r="AS38">
        <f t="shared" si="3"/>
        <v>0.1040746038335465</v>
      </c>
    </row>
    <row r="39" spans="1:45" x14ac:dyDescent="0.2">
      <c r="A39">
        <v>18587</v>
      </c>
      <c r="B39">
        <v>797.8</v>
      </c>
      <c r="C39">
        <v>-28.12893</v>
      </c>
      <c r="D39">
        <v>112.93697</v>
      </c>
      <c r="E39" s="3" t="s">
        <v>25</v>
      </c>
      <c r="F39" s="4" t="s">
        <v>174</v>
      </c>
      <c r="G39">
        <v>0.67662075966665913</v>
      </c>
      <c r="H39">
        <v>1.4400911756652318E-2</v>
      </c>
      <c r="I39">
        <v>4.5009831698537228E-2</v>
      </c>
      <c r="J39">
        <v>3.8847471485176938E-3</v>
      </c>
      <c r="K39">
        <v>0.17217005473363783</v>
      </c>
      <c r="L39">
        <v>3.0012334353792323</v>
      </c>
      <c r="M39">
        <v>2.5892942422547787</v>
      </c>
      <c r="N39">
        <v>0.41193919312445382</v>
      </c>
      <c r="P39" s="2">
        <v>21.909673289793002</v>
      </c>
      <c r="Q39" s="2">
        <v>27.2968556660906</v>
      </c>
      <c r="R39" s="2">
        <v>33.534643396668201</v>
      </c>
      <c r="S39">
        <v>22.318650000000002</v>
      </c>
      <c r="T39">
        <v>23.558716</v>
      </c>
      <c r="U39">
        <v>23.743155000000002</v>
      </c>
      <c r="V39">
        <v>20.87116</v>
      </c>
      <c r="W39">
        <v>21.101538000000001</v>
      </c>
      <c r="X39">
        <f t="shared" si="1"/>
        <v>23.650935500000003</v>
      </c>
      <c r="AK39">
        <v>18587</v>
      </c>
      <c r="AL39">
        <v>-28.12893</v>
      </c>
      <c r="AM39">
        <v>112.93697</v>
      </c>
      <c r="AN39">
        <v>1.4649007320404051</v>
      </c>
      <c r="AO39">
        <v>0.2375408411026001</v>
      </c>
      <c r="AP39">
        <f t="shared" si="0"/>
        <v>4.9782056660905987</v>
      </c>
      <c r="AQ39">
        <v>19.0933723449707</v>
      </c>
      <c r="AR39">
        <f t="shared" si="2"/>
        <v>0.55912046813964844</v>
      </c>
      <c r="AS39">
        <f t="shared" si="3"/>
        <v>0.11750029152701069</v>
      </c>
    </row>
    <row r="40" spans="1:45" x14ac:dyDescent="0.2">
      <c r="A40">
        <v>18588</v>
      </c>
      <c r="B40">
        <v>810.2</v>
      </c>
      <c r="C40">
        <v>-28.384730000000001</v>
      </c>
      <c r="D40">
        <v>113.01653</v>
      </c>
      <c r="E40" s="3" t="s">
        <v>25</v>
      </c>
      <c r="F40" s="4" t="s">
        <v>178</v>
      </c>
      <c r="G40">
        <v>0.63937590148009882</v>
      </c>
      <c r="H40">
        <v>3.471061836693874E-3</v>
      </c>
      <c r="I40">
        <v>3.9657842895809703E-2</v>
      </c>
      <c r="J40">
        <v>7.0392286798031415E-3</v>
      </c>
      <c r="K40">
        <v>0.19279252960815396</v>
      </c>
      <c r="L40">
        <v>2.6703864763855112</v>
      </c>
      <c r="M40">
        <v>2.4549216800553628</v>
      </c>
      <c r="N40">
        <v>0.21546479633014837</v>
      </c>
      <c r="P40" s="2">
        <v>19.795967908051502</v>
      </c>
      <c r="Q40" s="2">
        <v>24.757546458642199</v>
      </c>
      <c r="R40" s="2">
        <v>30.544909369706101</v>
      </c>
      <c r="S40">
        <v>22.215532</v>
      </c>
      <c r="T40">
        <v>23.425932</v>
      </c>
      <c r="U40">
        <v>23.639816</v>
      </c>
      <c r="V40">
        <v>20.801867000000001</v>
      </c>
      <c r="W40">
        <v>20.994520000000001</v>
      </c>
      <c r="X40">
        <f t="shared" si="1"/>
        <v>23.532874</v>
      </c>
      <c r="AK40">
        <v>18588</v>
      </c>
      <c r="AL40">
        <v>-28.384730000000001</v>
      </c>
      <c r="AM40">
        <v>113.01653</v>
      </c>
      <c r="AN40">
        <v>1.357004642486572</v>
      </c>
      <c r="AO40">
        <v>0.24146933853626251</v>
      </c>
      <c r="AP40">
        <f t="shared" si="0"/>
        <v>2.5420144586421998</v>
      </c>
      <c r="AQ40">
        <v>19.134771347045898</v>
      </c>
      <c r="AR40">
        <f t="shared" si="2"/>
        <v>0.55961725616455082</v>
      </c>
      <c r="AS40">
        <f t="shared" si="3"/>
        <v>7.9758645315547994E-2</v>
      </c>
    </row>
    <row r="41" spans="1:45" x14ac:dyDescent="0.2">
      <c r="A41">
        <v>18589</v>
      </c>
      <c r="B41">
        <v>2485.8000000000002</v>
      </c>
      <c r="C41">
        <v>-28.967880000000001</v>
      </c>
      <c r="D41">
        <v>112.87597</v>
      </c>
      <c r="E41" s="3" t="s">
        <v>25</v>
      </c>
      <c r="F41" s="4" t="s">
        <v>182</v>
      </c>
      <c r="G41">
        <v>0.677627364388804</v>
      </c>
      <c r="H41">
        <v>4.5095271033355365E-3</v>
      </c>
      <c r="I41">
        <v>7.545495522050244E-2</v>
      </c>
      <c r="J41">
        <v>1.064835432834908E-3</v>
      </c>
      <c r="K41">
        <v>0.20683636196483116</v>
      </c>
      <c r="L41">
        <v>2.4785413660657829</v>
      </c>
      <c r="M41">
        <v>2.4038474087233968</v>
      </c>
      <c r="N41">
        <v>7.4693957342386152E-2</v>
      </c>
      <c r="P41" s="2">
        <v>18.7220234390626</v>
      </c>
      <c r="Q41" s="2">
        <v>24.073587817238</v>
      </c>
      <c r="R41" s="2">
        <v>29.476109910925899</v>
      </c>
      <c r="S41">
        <v>21.861333999999999</v>
      </c>
      <c r="T41">
        <v>23.116952999999999</v>
      </c>
      <c r="U41">
        <v>23.15053</v>
      </c>
      <c r="V41">
        <v>20.463839</v>
      </c>
      <c r="W41">
        <v>20.713951000000002</v>
      </c>
      <c r="X41">
        <f t="shared" si="1"/>
        <v>23.133741499999999</v>
      </c>
      <c r="AK41">
        <v>18589</v>
      </c>
      <c r="AL41">
        <v>-28.967880000000001</v>
      </c>
      <c r="AM41">
        <v>112.87597</v>
      </c>
      <c r="AN41">
        <v>1.4317140579223631</v>
      </c>
      <c r="AO41">
        <v>0.2375408411026001</v>
      </c>
      <c r="AP41">
        <f t="shared" si="0"/>
        <v>2.2122538172380004</v>
      </c>
      <c r="AQ41">
        <v>18.82619476318359</v>
      </c>
      <c r="AR41">
        <f t="shared" si="2"/>
        <v>0.55591433715820315</v>
      </c>
      <c r="AS41">
        <f t="shared" si="3"/>
        <v>0.12171302723060085</v>
      </c>
    </row>
    <row r="42" spans="1:45" x14ac:dyDescent="0.2">
      <c r="N42"/>
      <c r="O42" s="2"/>
    </row>
    <row r="44" spans="1:45" x14ac:dyDescent="0.2">
      <c r="A44" t="s">
        <v>308</v>
      </c>
    </row>
    <row r="45" spans="1:45" ht="17" thickBot="1" x14ac:dyDescent="0.25"/>
    <row r="46" spans="1:45" x14ac:dyDescent="0.2">
      <c r="A46" s="6" t="s">
        <v>0</v>
      </c>
      <c r="B46" s="7" t="s">
        <v>1</v>
      </c>
      <c r="C46" s="7" t="s">
        <v>2</v>
      </c>
      <c r="D46" s="7" t="s">
        <v>3</v>
      </c>
      <c r="E46" s="8" t="s">
        <v>4</v>
      </c>
      <c r="F46" s="17" t="s">
        <v>14</v>
      </c>
      <c r="G46" s="35" t="s">
        <v>5</v>
      </c>
      <c r="H46" s="35"/>
      <c r="I46" s="35" t="s">
        <v>6</v>
      </c>
      <c r="J46" s="35"/>
      <c r="K46" s="8" t="s">
        <v>7</v>
      </c>
      <c r="L46" s="8" t="s">
        <v>8</v>
      </c>
      <c r="M46" s="8" t="s">
        <v>9</v>
      </c>
      <c r="N46" s="8" t="s">
        <v>10</v>
      </c>
      <c r="O46" s="9"/>
      <c r="P46" s="8" t="s">
        <v>11</v>
      </c>
      <c r="Q46" s="8" t="s">
        <v>12</v>
      </c>
      <c r="R46" s="8" t="s">
        <v>13</v>
      </c>
      <c r="S46" s="12" t="s">
        <v>16</v>
      </c>
      <c r="T46" s="12" t="s">
        <v>17</v>
      </c>
      <c r="U46" s="12" t="s">
        <v>18</v>
      </c>
      <c r="V46" s="12" t="s">
        <v>228</v>
      </c>
      <c r="W46" s="12" t="s">
        <v>229</v>
      </c>
    </row>
    <row r="47" spans="1:45" ht="17" thickBot="1" x14ac:dyDescent="0.25">
      <c r="A47" s="13"/>
      <c r="B47" s="14"/>
      <c r="C47" s="14"/>
      <c r="D47" s="14"/>
      <c r="E47" s="14"/>
      <c r="F47" s="18"/>
      <c r="G47" s="14" t="s">
        <v>20</v>
      </c>
      <c r="H47" s="14" t="s">
        <v>21</v>
      </c>
      <c r="I47" s="14" t="s">
        <v>20</v>
      </c>
      <c r="J47" s="14" t="s">
        <v>21</v>
      </c>
      <c r="K47" s="14"/>
      <c r="L47" s="14"/>
      <c r="M47" s="14"/>
      <c r="N47" s="14"/>
      <c r="O47" s="15"/>
      <c r="P47" s="14" t="s">
        <v>186</v>
      </c>
      <c r="Q47" s="14" t="s">
        <v>186</v>
      </c>
      <c r="R47" s="14" t="s">
        <v>186</v>
      </c>
      <c r="S47" s="16" t="s">
        <v>227</v>
      </c>
      <c r="T47" s="16" t="s">
        <v>227</v>
      </c>
      <c r="U47" s="16" t="s">
        <v>227</v>
      </c>
      <c r="V47" s="16" t="s">
        <v>227</v>
      </c>
      <c r="W47" s="16" t="s">
        <v>227</v>
      </c>
      <c r="AK47" s="30" t="s">
        <v>310</v>
      </c>
      <c r="AL47" s="30" t="s">
        <v>2</v>
      </c>
      <c r="AM47" s="30" t="s">
        <v>3</v>
      </c>
      <c r="AN47" s="30" t="s">
        <v>311</v>
      </c>
      <c r="AO47" s="32" t="s">
        <v>313</v>
      </c>
      <c r="AP47" s="31" t="s">
        <v>312</v>
      </c>
    </row>
    <row r="48" spans="1:45" x14ac:dyDescent="0.2">
      <c r="A48">
        <v>18547</v>
      </c>
      <c r="B48">
        <v>1460.5</v>
      </c>
      <c r="C48">
        <v>-15.055149999999999</v>
      </c>
      <c r="D48">
        <v>120.4362</v>
      </c>
      <c r="E48" t="s">
        <v>25</v>
      </c>
      <c r="F48" s="4" t="s">
        <v>26</v>
      </c>
      <c r="G48">
        <v>0.74381779674280235</v>
      </c>
      <c r="H48">
        <v>1.6116458806206071E-2</v>
      </c>
      <c r="I48">
        <v>6.7899824114297375E-2</v>
      </c>
      <c r="J48">
        <v>1.5975796890326927E-3</v>
      </c>
      <c r="K48">
        <v>0.19381784696202203</v>
      </c>
      <c r="L48">
        <v>2.9663872142072489</v>
      </c>
      <c r="M48">
        <v>2.854530982288205</v>
      </c>
      <c r="N48">
        <v>0.11185623191904392</v>
      </c>
      <c r="P48" s="2">
        <v>25.630040233113998</v>
      </c>
      <c r="Q48" s="2">
        <v>32.1095370334615</v>
      </c>
      <c r="R48" s="2">
        <v>41.069659783010501</v>
      </c>
      <c r="S48">
        <v>28.225881999999999</v>
      </c>
      <c r="T48">
        <v>29.243704000000001</v>
      </c>
      <c r="U48">
        <v>28.806533999999999</v>
      </c>
      <c r="V48">
        <v>26.251556000000001</v>
      </c>
      <c r="W48">
        <v>28.601700000000001</v>
      </c>
      <c r="AK48">
        <v>18547</v>
      </c>
      <c r="AL48">
        <v>-15.055149999999999</v>
      </c>
      <c r="AM48">
        <v>120.4362</v>
      </c>
      <c r="AN48">
        <v>2.7273461818695068</v>
      </c>
      <c r="AO48">
        <v>0.20072691142559049</v>
      </c>
      <c r="AP48" s="2">
        <f t="shared" ref="AP48:AP84" si="4">Q48-T48</f>
        <v>2.8658330334614988</v>
      </c>
    </row>
    <row r="49" spans="1:42" x14ac:dyDescent="0.2">
      <c r="A49">
        <v>18549</v>
      </c>
      <c r="B49">
        <v>1628.5</v>
      </c>
      <c r="C49">
        <v>-15.961550000000001</v>
      </c>
      <c r="D49">
        <v>119.50967</v>
      </c>
      <c r="E49" t="s">
        <v>25</v>
      </c>
      <c r="F49" s="4" t="s">
        <v>32</v>
      </c>
      <c r="G49">
        <v>0.7087346667290334</v>
      </c>
      <c r="H49">
        <v>2.9103366518290707E-3</v>
      </c>
      <c r="I49">
        <v>4.1222700293001541E-2</v>
      </c>
      <c r="J49">
        <v>1.4137820413386234E-2</v>
      </c>
      <c r="K49">
        <v>0.20759642197040029</v>
      </c>
      <c r="L49">
        <v>2.7630180970192972</v>
      </c>
      <c r="M49">
        <v>2.7119403952913599</v>
      </c>
      <c r="N49">
        <v>5.1077701727937574E-2</v>
      </c>
      <c r="P49" s="2">
        <v>24.204023867975</v>
      </c>
      <c r="Q49" s="2">
        <v>29.438824302646101</v>
      </c>
      <c r="R49" s="2">
        <v>35.4596624359977</v>
      </c>
      <c r="S49">
        <v>28.044350000000001</v>
      </c>
      <c r="T49">
        <v>29.235814999999999</v>
      </c>
      <c r="U49">
        <v>28.644003000000001</v>
      </c>
      <c r="V49">
        <v>26.014097</v>
      </c>
      <c r="W49">
        <v>28.283467999999999</v>
      </c>
      <c r="AK49">
        <v>18549</v>
      </c>
      <c r="AL49">
        <v>-15.961550000000001</v>
      </c>
      <c r="AM49">
        <v>119.50967</v>
      </c>
      <c r="AN49">
        <v>5.1361709833145142E-2</v>
      </c>
      <c r="AO49">
        <v>0.18940214812755579</v>
      </c>
      <c r="AP49" s="2">
        <f t="shared" si="4"/>
        <v>0.20300930264610173</v>
      </c>
    </row>
    <row r="50" spans="1:42" x14ac:dyDescent="0.2">
      <c r="A50">
        <v>18550</v>
      </c>
      <c r="B50">
        <v>1388</v>
      </c>
      <c r="C50">
        <v>-16.859529999999999</v>
      </c>
      <c r="D50">
        <v>118.75702</v>
      </c>
      <c r="E50" t="s">
        <v>25</v>
      </c>
      <c r="F50" s="4" t="s">
        <v>37</v>
      </c>
      <c r="G50">
        <v>0.76767728986989714</v>
      </c>
      <c r="H50">
        <v>1.1500200832202483E-2</v>
      </c>
      <c r="I50">
        <v>6.4419304491205948E-2</v>
      </c>
      <c r="J50">
        <v>4.6934970446484529E-3</v>
      </c>
      <c r="K50">
        <v>0.18062158002903267</v>
      </c>
      <c r="L50">
        <v>3.0413800635415025</v>
      </c>
      <c r="M50">
        <v>2.955678388456227</v>
      </c>
      <c r="N50">
        <v>8.5701675085275486E-2</v>
      </c>
      <c r="P50" s="2">
        <v>27.597183492744801</v>
      </c>
      <c r="Q50" s="2">
        <v>33.097611451295698</v>
      </c>
      <c r="R50" s="2">
        <v>39.092111679198297</v>
      </c>
      <c r="S50">
        <v>27.720236</v>
      </c>
      <c r="T50">
        <v>29.158068</v>
      </c>
      <c r="U50">
        <v>28.314001000000001</v>
      </c>
      <c r="V50">
        <v>25.614653000000001</v>
      </c>
      <c r="W50">
        <v>27.794236999999999</v>
      </c>
      <c r="AK50">
        <v>18550</v>
      </c>
      <c r="AL50">
        <v>-16.859529999999999</v>
      </c>
      <c r="AM50">
        <v>118.75702</v>
      </c>
      <c r="AN50">
        <v>2.5489287376403809</v>
      </c>
      <c r="AO50">
        <v>0.1879527419805527</v>
      </c>
      <c r="AP50" s="2">
        <f t="shared" si="4"/>
        <v>3.9395434512956982</v>
      </c>
    </row>
    <row r="51" spans="1:42" x14ac:dyDescent="0.2">
      <c r="A51">
        <v>18551</v>
      </c>
      <c r="B51">
        <v>668.8</v>
      </c>
      <c r="C51">
        <v>-17.591550000000002</v>
      </c>
      <c r="D51">
        <v>118.44568</v>
      </c>
      <c r="E51" t="s">
        <v>25</v>
      </c>
      <c r="F51" s="4" t="s">
        <v>42</v>
      </c>
      <c r="G51">
        <v>0.77640894866831656</v>
      </c>
      <c r="H51">
        <v>5.5434675375224205E-3</v>
      </c>
      <c r="I51">
        <v>0.11412261242312459</v>
      </c>
      <c r="J51">
        <v>2.3969857206980602E-3</v>
      </c>
      <c r="K51">
        <v>0.16559202037541235</v>
      </c>
      <c r="L51">
        <v>3.1892864401611862</v>
      </c>
      <c r="M51">
        <v>2.9935481618789188</v>
      </c>
      <c r="N51">
        <v>0.19573827828226742</v>
      </c>
      <c r="P51" s="2">
        <v>28.021164738082501</v>
      </c>
      <c r="Q51" s="2">
        <v>33.331877202399802</v>
      </c>
      <c r="R51" s="2">
        <v>40.359592469713</v>
      </c>
      <c r="S51">
        <v>27.527097999999999</v>
      </c>
      <c r="T51">
        <v>29.172394000000001</v>
      </c>
      <c r="U51">
        <v>28.093969999999999</v>
      </c>
      <c r="V51">
        <v>25.313734</v>
      </c>
      <c r="W51">
        <v>27.528267</v>
      </c>
      <c r="AK51">
        <v>18551</v>
      </c>
      <c r="AL51">
        <v>-17.591550000000002</v>
      </c>
      <c r="AM51">
        <v>118.44568</v>
      </c>
      <c r="AN51">
        <v>3.9045472145080571</v>
      </c>
      <c r="AO51">
        <v>0.20486696064472201</v>
      </c>
      <c r="AP51" s="2">
        <f t="shared" si="4"/>
        <v>4.1594832023998016</v>
      </c>
    </row>
    <row r="52" spans="1:42" x14ac:dyDescent="0.2">
      <c r="A52">
        <v>18552</v>
      </c>
      <c r="B52">
        <v>1951.3</v>
      </c>
      <c r="C52">
        <v>-17.67595</v>
      </c>
      <c r="D52">
        <v>117.69401999999999</v>
      </c>
      <c r="E52" t="s">
        <v>25</v>
      </c>
      <c r="F52" s="4" t="s">
        <v>47</v>
      </c>
      <c r="G52">
        <v>0.74874514969207218</v>
      </c>
      <c r="I52">
        <v>4.0441584509120963E-2</v>
      </c>
      <c r="K52">
        <v>0.17868011206940695</v>
      </c>
      <c r="L52">
        <v>3.0414503602999998</v>
      </c>
      <c r="M52">
        <v>2.8747223080392841</v>
      </c>
      <c r="N52">
        <v>0.16672805226071574</v>
      </c>
      <c r="P52" s="2">
        <v>26.475754467946299</v>
      </c>
      <c r="Q52" s="2">
        <v>31.916781988290602</v>
      </c>
      <c r="R52" s="2">
        <v>37.951715725558998</v>
      </c>
      <c r="S52">
        <v>27.402266999999998</v>
      </c>
      <c r="T52">
        <v>29.017900000000001</v>
      </c>
      <c r="U52">
        <v>27.999998000000001</v>
      </c>
      <c r="V52">
        <v>25.252157</v>
      </c>
      <c r="W52">
        <v>27.338984</v>
      </c>
      <c r="AK52">
        <v>18552</v>
      </c>
      <c r="AL52">
        <v>-17.67595</v>
      </c>
      <c r="AM52">
        <v>117.69401999999999</v>
      </c>
      <c r="AN52">
        <v>3.655184268951416</v>
      </c>
      <c r="AO52">
        <v>0.1819051057100296</v>
      </c>
      <c r="AP52" s="2">
        <f t="shared" si="4"/>
        <v>2.8988819882906007</v>
      </c>
    </row>
    <row r="53" spans="1:42" x14ac:dyDescent="0.2">
      <c r="A53">
        <v>18553</v>
      </c>
      <c r="B53">
        <v>1619.7</v>
      </c>
      <c r="C53">
        <v>-18.116350000000001</v>
      </c>
      <c r="D53">
        <v>117.11663</v>
      </c>
      <c r="E53" t="s">
        <v>25</v>
      </c>
      <c r="F53" s="4" t="s">
        <v>52</v>
      </c>
      <c r="G53">
        <v>0.75603836126096813</v>
      </c>
      <c r="H53">
        <v>2.2151701298235792E-3</v>
      </c>
      <c r="I53">
        <v>7.9580025495864418E-2</v>
      </c>
      <c r="J53">
        <v>1.3667654887627277E-2</v>
      </c>
      <c r="K53">
        <v>0.16717842531834909</v>
      </c>
      <c r="L53">
        <v>3.1076699293866783</v>
      </c>
      <c r="M53">
        <v>2.9055506996916285</v>
      </c>
      <c r="N53">
        <v>0.20211922969504981</v>
      </c>
      <c r="P53" s="2">
        <v>26.7806022691259</v>
      </c>
      <c r="Q53" s="2">
        <v>32.279723753090401</v>
      </c>
      <c r="R53" s="2">
        <v>38.500787085281701</v>
      </c>
      <c r="S53">
        <v>27.187714</v>
      </c>
      <c r="T53">
        <v>28.847807</v>
      </c>
      <c r="U53">
        <v>27.863181999999998</v>
      </c>
      <c r="V53">
        <v>25.06765</v>
      </c>
      <c r="W53">
        <v>26.972180999999999</v>
      </c>
      <c r="AK53">
        <v>18553</v>
      </c>
      <c r="AL53">
        <v>-18.116350000000001</v>
      </c>
      <c r="AM53">
        <v>117.11663</v>
      </c>
      <c r="AN53">
        <v>3.3688888549804692</v>
      </c>
      <c r="AO53">
        <v>0.18979980051517489</v>
      </c>
      <c r="AP53" s="2">
        <f t="shared" si="4"/>
        <v>3.4319167530904018</v>
      </c>
    </row>
    <row r="54" spans="1:42" x14ac:dyDescent="0.2">
      <c r="A54">
        <v>18554</v>
      </c>
      <c r="B54">
        <v>497.9</v>
      </c>
      <c r="C54">
        <v>-18.53323</v>
      </c>
      <c r="D54">
        <v>117.36642000000001</v>
      </c>
      <c r="E54" t="s">
        <v>25</v>
      </c>
      <c r="F54" s="4" t="s">
        <v>56</v>
      </c>
      <c r="G54">
        <v>0.74048114793738362</v>
      </c>
      <c r="H54">
        <v>1.2098781666380834E-2</v>
      </c>
      <c r="I54">
        <v>5.956841965284046E-2</v>
      </c>
      <c r="J54">
        <v>1.0380241844364767E-3</v>
      </c>
      <c r="K54">
        <v>0.1779468406770664</v>
      </c>
      <c r="L54">
        <v>3.1201605712626654</v>
      </c>
      <c r="M54">
        <v>2.8404694448439898</v>
      </c>
      <c r="N54">
        <v>0.27969112641867566</v>
      </c>
      <c r="P54" s="2">
        <v>26.398128355883301</v>
      </c>
      <c r="Q54" s="2">
        <v>31.150091644516898</v>
      </c>
      <c r="R54" s="2">
        <v>37.273453281318503</v>
      </c>
      <c r="S54">
        <v>27.09817</v>
      </c>
      <c r="T54">
        <v>28.903597000000001</v>
      </c>
      <c r="U54">
        <v>27.718713999999999</v>
      </c>
      <c r="V54">
        <v>24.893501000000001</v>
      </c>
      <c r="W54">
        <v>26.876982000000002</v>
      </c>
      <c r="AK54">
        <v>18554</v>
      </c>
      <c r="AL54">
        <v>-18.53323</v>
      </c>
      <c r="AM54">
        <v>117.36642000000001</v>
      </c>
      <c r="AN54">
        <v>3.397833108901978</v>
      </c>
      <c r="AO54">
        <v>0.18979980051517489</v>
      </c>
      <c r="AP54" s="2">
        <f t="shared" si="4"/>
        <v>2.246494644516897</v>
      </c>
    </row>
    <row r="55" spans="1:42" x14ac:dyDescent="0.2">
      <c r="A55">
        <v>18555</v>
      </c>
      <c r="B55">
        <v>1113.7</v>
      </c>
      <c r="C55">
        <v>-18.350850000000001</v>
      </c>
      <c r="D55">
        <v>117.25673</v>
      </c>
      <c r="E55" t="s">
        <v>25</v>
      </c>
      <c r="F55" s="4" t="s">
        <v>61</v>
      </c>
      <c r="G55">
        <v>0.71391578356229912</v>
      </c>
      <c r="I55">
        <v>2.6574814850037445E-2</v>
      </c>
      <c r="K55">
        <v>0.19319152625333461</v>
      </c>
      <c r="L55">
        <v>2.9664400766765464</v>
      </c>
      <c r="M55">
        <v>2.7324083234413425</v>
      </c>
      <c r="N55">
        <v>0.23403175323520387</v>
      </c>
      <c r="P55" s="2">
        <v>24.5329254483269</v>
      </c>
      <c r="Q55" s="2">
        <v>29.913051241042702</v>
      </c>
      <c r="R55" s="2">
        <v>35.914921181275098</v>
      </c>
      <c r="S55">
        <v>27.17896</v>
      </c>
      <c r="T55">
        <v>28.922516000000002</v>
      </c>
      <c r="U55">
        <v>27.804886</v>
      </c>
      <c r="V55">
        <v>25.011282000000001</v>
      </c>
      <c r="W55">
        <v>26.977119999999999</v>
      </c>
      <c r="AK55">
        <v>18555</v>
      </c>
      <c r="AL55">
        <v>-18.350850000000001</v>
      </c>
      <c r="AM55">
        <v>117.25673</v>
      </c>
      <c r="AN55">
        <v>3.4231243133544922</v>
      </c>
      <c r="AO55">
        <v>0.18979980051517489</v>
      </c>
      <c r="AP55" s="2">
        <f t="shared" si="4"/>
        <v>0.99053524104269997</v>
      </c>
    </row>
    <row r="56" spans="1:42" x14ac:dyDescent="0.2">
      <c r="A56">
        <v>18556</v>
      </c>
      <c r="B56">
        <v>1843.6</v>
      </c>
      <c r="C56">
        <v>-17.1036</v>
      </c>
      <c r="D56">
        <v>117.23048</v>
      </c>
      <c r="E56" t="s">
        <v>30</v>
      </c>
      <c r="F56" s="4" t="s">
        <v>66</v>
      </c>
      <c r="G56">
        <v>0.76752561651111639</v>
      </c>
      <c r="H56">
        <v>1.8422320579095633E-3</v>
      </c>
      <c r="I56">
        <v>7.1261704875845988E-2</v>
      </c>
      <c r="J56">
        <v>3.0968981104057554E-2</v>
      </c>
      <c r="K56">
        <v>0.1549430756564609</v>
      </c>
      <c r="L56">
        <v>3.0645143426798667</v>
      </c>
      <c r="M56">
        <v>2.9548082080684597</v>
      </c>
      <c r="N56">
        <v>0.10970613461140699</v>
      </c>
      <c r="P56" s="2">
        <v>27.575404458308199</v>
      </c>
      <c r="Q56" s="2">
        <v>32.589620370669799</v>
      </c>
      <c r="R56" s="2">
        <v>38.691499227615601</v>
      </c>
      <c r="S56">
        <v>27.420598999999999</v>
      </c>
      <c r="T56">
        <v>28.8413</v>
      </c>
      <c r="U56">
        <v>28.0838</v>
      </c>
      <c r="V56">
        <v>25.374366999999999</v>
      </c>
      <c r="W56">
        <v>27.382914</v>
      </c>
      <c r="AK56">
        <v>18556</v>
      </c>
      <c r="AL56">
        <v>-17.1036</v>
      </c>
      <c r="AM56">
        <v>117.23048</v>
      </c>
      <c r="AN56">
        <v>2.3372893333435059</v>
      </c>
      <c r="AO56">
        <v>0.1819051057100296</v>
      </c>
      <c r="AP56" s="2">
        <f t="shared" si="4"/>
        <v>3.7483203706697985</v>
      </c>
    </row>
    <row r="57" spans="1:42" x14ac:dyDescent="0.2">
      <c r="A57">
        <v>18557</v>
      </c>
      <c r="B57">
        <v>2405.9</v>
      </c>
      <c r="C57">
        <v>-17.54862</v>
      </c>
      <c r="D57">
        <v>117.14593000000001</v>
      </c>
      <c r="E57" s="3" t="s">
        <v>25</v>
      </c>
      <c r="F57" s="4" t="s">
        <v>70</v>
      </c>
      <c r="G57">
        <v>0.82299496941066042</v>
      </c>
      <c r="H57">
        <v>9.1199774079338738E-3</v>
      </c>
      <c r="I57">
        <v>0.14288981621829969</v>
      </c>
      <c r="J57">
        <v>1.2480049727566151E-3</v>
      </c>
      <c r="K57">
        <v>0.12296993614202006</v>
      </c>
      <c r="L57">
        <v>3.3565510376920411</v>
      </c>
      <c r="M57">
        <v>3.2051367316955832</v>
      </c>
      <c r="N57">
        <v>0.15141430599645811</v>
      </c>
      <c r="P57" s="2">
        <v>30.379441044855799</v>
      </c>
      <c r="Q57" s="2">
        <v>36.210504308621097</v>
      </c>
      <c r="R57" s="2">
        <v>42.993245122392501</v>
      </c>
      <c r="S57">
        <v>27.302599000000001</v>
      </c>
      <c r="T57">
        <v>28.853646999999999</v>
      </c>
      <c r="U57">
        <v>27.986848999999999</v>
      </c>
      <c r="V57">
        <v>25.197382000000001</v>
      </c>
      <c r="W57">
        <v>27.172533000000001</v>
      </c>
      <c r="AK57">
        <v>18557</v>
      </c>
      <c r="AL57">
        <v>-17.54862</v>
      </c>
      <c r="AM57">
        <v>117.14593000000001</v>
      </c>
      <c r="AN57">
        <v>3.512549877166748</v>
      </c>
      <c r="AO57">
        <v>0.1819051057100296</v>
      </c>
      <c r="AP57" s="2">
        <f t="shared" si="4"/>
        <v>7.3568573086210982</v>
      </c>
    </row>
    <row r="58" spans="1:42" x14ac:dyDescent="0.2">
      <c r="A58">
        <v>18558</v>
      </c>
      <c r="B58">
        <v>1755.4</v>
      </c>
      <c r="C58">
        <v>-18.399229999999999</v>
      </c>
      <c r="D58">
        <v>115.22788</v>
      </c>
      <c r="E58" t="s">
        <v>25</v>
      </c>
      <c r="F58" s="4" t="s">
        <v>74</v>
      </c>
      <c r="G58">
        <v>0.75629326333299873</v>
      </c>
      <c r="H58">
        <v>5.6427769922676148E-3</v>
      </c>
      <c r="I58">
        <v>7.9506150311020124E-2</v>
      </c>
      <c r="J58">
        <v>2.9579423838819373E-4</v>
      </c>
      <c r="K58">
        <v>0.18310423279374755</v>
      </c>
      <c r="L58">
        <v>2.9824426814777514</v>
      </c>
      <c r="M58">
        <v>2.9066789837217675</v>
      </c>
      <c r="N58">
        <v>7.5763697755984349E-2</v>
      </c>
      <c r="P58" s="2">
        <v>27.075528078109599</v>
      </c>
      <c r="Q58" s="2">
        <v>32.278534803011603</v>
      </c>
      <c r="R58" s="2">
        <v>38.570983553031603</v>
      </c>
      <c r="S58">
        <v>26.916954</v>
      </c>
      <c r="T58">
        <v>28.520734999999998</v>
      </c>
      <c r="U58">
        <v>27.909162999999999</v>
      </c>
      <c r="V58">
        <v>24.89208</v>
      </c>
      <c r="W58">
        <v>26.345963000000001</v>
      </c>
      <c r="AK58">
        <v>18558</v>
      </c>
      <c r="AL58">
        <v>-18.399229999999999</v>
      </c>
      <c r="AM58">
        <v>115.22788</v>
      </c>
      <c r="AN58">
        <v>2.3417826741933818E-3</v>
      </c>
      <c r="AO58">
        <v>0.1731922775506973</v>
      </c>
      <c r="AP58" s="2">
        <f t="shared" si="4"/>
        <v>3.7577998030116042</v>
      </c>
    </row>
    <row r="59" spans="1:42" x14ac:dyDescent="0.2">
      <c r="A59">
        <v>18559</v>
      </c>
      <c r="B59">
        <v>1976.5</v>
      </c>
      <c r="C59">
        <v>-18.083320000000001</v>
      </c>
      <c r="D59">
        <v>115.04773</v>
      </c>
      <c r="E59" s="3" t="s">
        <v>25</v>
      </c>
      <c r="F59" s="4" t="s">
        <v>79</v>
      </c>
      <c r="G59">
        <v>0.75300969756232938</v>
      </c>
      <c r="H59">
        <v>2.3117051123863246E-2</v>
      </c>
      <c r="I59">
        <v>3.2531720368312936E-2</v>
      </c>
      <c r="J59">
        <v>8.6959498254242876E-3</v>
      </c>
      <c r="K59">
        <v>0.18294075343734406</v>
      </c>
      <c r="L59">
        <v>2.9937411434727128</v>
      </c>
      <c r="M59">
        <v>2.8935880009924912</v>
      </c>
      <c r="N59">
        <v>0.10015314248022178</v>
      </c>
      <c r="P59" s="2">
        <v>26.804329910685201</v>
      </c>
      <c r="Q59" s="2">
        <v>31.985343957574401</v>
      </c>
      <c r="R59" s="2">
        <v>37.666127983697102</v>
      </c>
      <c r="S59">
        <v>26.98049</v>
      </c>
      <c r="T59">
        <v>28.546800000000001</v>
      </c>
      <c r="U59">
        <v>27.952932000000001</v>
      </c>
      <c r="V59">
        <v>24.972878000000001</v>
      </c>
      <c r="W59">
        <v>26.449486</v>
      </c>
      <c r="AK59">
        <v>18559</v>
      </c>
      <c r="AL59">
        <v>-18.083320000000001</v>
      </c>
      <c r="AM59">
        <v>115.04773</v>
      </c>
      <c r="AN59">
        <v>6.3010095618665218E-3</v>
      </c>
      <c r="AO59">
        <v>0.1731922775506973</v>
      </c>
      <c r="AP59" s="2">
        <f t="shared" si="4"/>
        <v>3.4385439575743995</v>
      </c>
    </row>
    <row r="60" spans="1:42" x14ac:dyDescent="0.2">
      <c r="A60">
        <v>18560</v>
      </c>
      <c r="B60">
        <v>868.8</v>
      </c>
      <c r="C60">
        <v>-19.30397</v>
      </c>
      <c r="D60">
        <v>115.43213</v>
      </c>
      <c r="E60" s="3" t="s">
        <v>25</v>
      </c>
      <c r="F60" s="4" t="s">
        <v>84</v>
      </c>
      <c r="G60">
        <v>0.78267143465062161</v>
      </c>
      <c r="H60">
        <v>3.3686315194526601E-3</v>
      </c>
      <c r="I60">
        <v>7.8205172379126081E-2</v>
      </c>
      <c r="J60">
        <v>5.2906010321734183E-3</v>
      </c>
      <c r="K60">
        <v>0.13855492939384889</v>
      </c>
      <c r="L60">
        <v>3.3157295518765455</v>
      </c>
      <c r="M60">
        <v>3.0211094201969888</v>
      </c>
      <c r="N60">
        <v>0.2946201316795567</v>
      </c>
      <c r="P60" s="2">
        <v>28.4135073295658</v>
      </c>
      <c r="Q60" s="2">
        <v>33.811112786294501</v>
      </c>
      <c r="R60" s="2">
        <v>40.657504322138202</v>
      </c>
      <c r="S60">
        <v>26.578130000000002</v>
      </c>
      <c r="T60">
        <v>28.395085999999999</v>
      </c>
      <c r="U60">
        <v>27.593713999999999</v>
      </c>
      <c r="V60">
        <v>24.393681999999998</v>
      </c>
      <c r="W60">
        <v>25.930002000000002</v>
      </c>
      <c r="AK60">
        <v>18560</v>
      </c>
      <c r="AL60">
        <v>-19.30397</v>
      </c>
      <c r="AM60">
        <v>115.43213</v>
      </c>
      <c r="AN60">
        <v>5.9422550201416016</v>
      </c>
      <c r="AO60">
        <v>0.1783459335565567</v>
      </c>
      <c r="AP60" s="2">
        <f t="shared" si="4"/>
        <v>5.416026786294502</v>
      </c>
    </row>
    <row r="61" spans="1:42" x14ac:dyDescent="0.2">
      <c r="A61">
        <v>18561</v>
      </c>
      <c r="B61">
        <v>1185</v>
      </c>
      <c r="C61">
        <v>-19.242529999999999</v>
      </c>
      <c r="D61">
        <v>115.39917</v>
      </c>
      <c r="E61" s="3" t="s">
        <v>25</v>
      </c>
      <c r="F61" s="4" t="s">
        <v>88</v>
      </c>
      <c r="G61">
        <v>0.75259044660661778</v>
      </c>
      <c r="H61">
        <v>2.2680667223110912E-3</v>
      </c>
      <c r="I61">
        <v>5.5930662233138237E-2</v>
      </c>
      <c r="J61">
        <v>1.6925593877827575E-3</v>
      </c>
      <c r="K61">
        <v>0.16293103747723903</v>
      </c>
      <c r="L61">
        <v>3.1511440317827124</v>
      </c>
      <c r="M61">
        <v>2.890936598037336</v>
      </c>
      <c r="N61">
        <v>0.26020743374537658</v>
      </c>
      <c r="P61" s="2">
        <v>26.6702389046606</v>
      </c>
      <c r="Q61" s="2">
        <v>31.930897271203602</v>
      </c>
      <c r="R61" s="2">
        <v>38.265198388338902</v>
      </c>
      <c r="S61">
        <v>26.692001000000001</v>
      </c>
      <c r="T61">
        <v>28.444984000000002</v>
      </c>
      <c r="U61">
        <v>27.707519999999999</v>
      </c>
      <c r="V61">
        <v>24.545822000000001</v>
      </c>
      <c r="W61">
        <v>26.069717000000001</v>
      </c>
      <c r="AK61">
        <v>18561</v>
      </c>
      <c r="AL61">
        <v>-19.242529999999999</v>
      </c>
      <c r="AM61">
        <v>115.39917</v>
      </c>
      <c r="AN61">
        <v>6.0392928123474121</v>
      </c>
      <c r="AO61">
        <v>0.1783459335565567</v>
      </c>
      <c r="AP61" s="2">
        <f t="shared" si="4"/>
        <v>3.4859132712036001</v>
      </c>
    </row>
    <row r="62" spans="1:42" x14ac:dyDescent="0.2">
      <c r="A62">
        <v>18562</v>
      </c>
      <c r="B62">
        <v>1298.8</v>
      </c>
      <c r="C62">
        <v>-19.416679999999999</v>
      </c>
      <c r="D62">
        <v>114.31898</v>
      </c>
      <c r="E62" t="s">
        <v>25</v>
      </c>
      <c r="F62" s="4" t="s">
        <v>92</v>
      </c>
      <c r="G62">
        <v>0.72228869323868516</v>
      </c>
      <c r="H62">
        <v>3.3525399233460366E-3</v>
      </c>
      <c r="I62">
        <v>7.5443192047824001E-2</v>
      </c>
      <c r="J62">
        <v>3.7773070433269082E-3</v>
      </c>
      <c r="K62">
        <v>0.19522898950431566</v>
      </c>
      <c r="L62">
        <v>2.9149546689743859</v>
      </c>
      <c r="M62">
        <v>2.7659035389990341</v>
      </c>
      <c r="N62">
        <v>0.14905112997535208</v>
      </c>
      <c r="P62" s="2">
        <v>25.264987976222798</v>
      </c>
      <c r="Q62" s="2">
        <v>30.323875291018201</v>
      </c>
      <c r="R62" s="2">
        <v>36.216196487290503</v>
      </c>
      <c r="S62">
        <v>26.442345</v>
      </c>
      <c r="T62">
        <v>28.201332000000001</v>
      </c>
      <c r="U62">
        <v>27.462364000000001</v>
      </c>
      <c r="V62">
        <v>24.423065000000001</v>
      </c>
      <c r="W62">
        <v>25.682580000000002</v>
      </c>
      <c r="AK62">
        <v>18562</v>
      </c>
      <c r="AL62">
        <v>-19.416679999999999</v>
      </c>
      <c r="AM62">
        <v>114.31898</v>
      </c>
      <c r="AN62">
        <v>3.518355131149292</v>
      </c>
      <c r="AO62">
        <v>0.1962938457727432</v>
      </c>
      <c r="AP62" s="2">
        <f t="shared" si="4"/>
        <v>2.1225432910182001</v>
      </c>
    </row>
    <row r="63" spans="1:42" x14ac:dyDescent="0.2">
      <c r="A63">
        <v>18564</v>
      </c>
      <c r="B63">
        <v>349.7</v>
      </c>
      <c r="C63">
        <v>-20.500679999999999</v>
      </c>
      <c r="D63">
        <v>114.78462</v>
      </c>
      <c r="E63" s="3" t="s">
        <v>25</v>
      </c>
      <c r="F63" s="4" t="s">
        <v>97</v>
      </c>
      <c r="G63">
        <v>0.67704855639539541</v>
      </c>
      <c r="I63">
        <v>7.6616297229326336E-2</v>
      </c>
      <c r="K63">
        <v>0.16950140484943915</v>
      </c>
      <c r="L63">
        <v>3.0463976890893063</v>
      </c>
      <c r="M63">
        <v>2.5905431739962808</v>
      </c>
      <c r="N63">
        <v>0.45585451509302555</v>
      </c>
      <c r="P63" s="2">
        <v>22.478078850810501</v>
      </c>
      <c r="Q63" s="2">
        <v>27.6379240851332</v>
      </c>
      <c r="R63" s="2">
        <v>33.417315927719997</v>
      </c>
      <c r="S63">
        <v>26.027930999999999</v>
      </c>
      <c r="T63">
        <v>28.065935</v>
      </c>
      <c r="U63">
        <v>26.954000000000001</v>
      </c>
      <c r="V63">
        <v>23.927050000000001</v>
      </c>
      <c r="W63">
        <v>25.164736000000001</v>
      </c>
      <c r="AK63">
        <v>18564</v>
      </c>
      <c r="AL63">
        <v>-20.500679999999999</v>
      </c>
      <c r="AM63">
        <v>114.78462</v>
      </c>
      <c r="AN63">
        <v>2.799991145730019E-2</v>
      </c>
      <c r="AO63">
        <v>0.20019297301769259</v>
      </c>
      <c r="AP63" s="2">
        <f t="shared" si="4"/>
        <v>-0.42801091486679965</v>
      </c>
    </row>
    <row r="64" spans="1:42" x14ac:dyDescent="0.2">
      <c r="A64">
        <v>18565</v>
      </c>
      <c r="B64">
        <v>1253.9000000000001</v>
      </c>
      <c r="C64">
        <v>-20.013950000000001</v>
      </c>
      <c r="D64">
        <v>114.23909999999999</v>
      </c>
      <c r="E64" s="3" t="s">
        <v>25</v>
      </c>
      <c r="F64" s="4" t="s">
        <v>101</v>
      </c>
      <c r="G64">
        <v>0.76902421427631351</v>
      </c>
      <c r="H64">
        <v>9.5618287304679687E-3</v>
      </c>
      <c r="I64">
        <v>4.9673705794082298E-2</v>
      </c>
      <c r="J64">
        <v>3.7309826155730086E-2</v>
      </c>
      <c r="K64">
        <v>0.13754760059422144</v>
      </c>
      <c r="L64">
        <v>3.2281953785671922</v>
      </c>
      <c r="M64">
        <v>2.9614452903469926</v>
      </c>
      <c r="N64">
        <v>0.26675008822019963</v>
      </c>
      <c r="P64" s="2">
        <v>27.5095384001288</v>
      </c>
      <c r="Q64" s="2">
        <v>32.779700574281797</v>
      </c>
      <c r="R64" s="2">
        <v>39.178645356614098</v>
      </c>
      <c r="S64">
        <v>26.138013999999998</v>
      </c>
      <c r="T64">
        <v>28.027315000000002</v>
      </c>
      <c r="U64">
        <v>27.246948</v>
      </c>
      <c r="V64">
        <v>24.057466999999999</v>
      </c>
      <c r="W64">
        <v>25.220307999999999</v>
      </c>
      <c r="AK64">
        <v>18565</v>
      </c>
      <c r="AL64">
        <v>-20.013950000000001</v>
      </c>
      <c r="AM64">
        <v>114.23909999999999</v>
      </c>
      <c r="AN64">
        <v>4.8196990974247464E-3</v>
      </c>
      <c r="AO64">
        <v>0.20019297301769259</v>
      </c>
      <c r="AP64" s="2">
        <f t="shared" si="4"/>
        <v>4.7523855742817958</v>
      </c>
    </row>
    <row r="65" spans="1:42" x14ac:dyDescent="0.2">
      <c r="A65">
        <v>18566</v>
      </c>
      <c r="B65">
        <v>1133.5</v>
      </c>
      <c r="C65">
        <v>-19.645119999999999</v>
      </c>
      <c r="D65">
        <v>113.81055000000001</v>
      </c>
      <c r="E65" s="3" t="s">
        <v>105</v>
      </c>
      <c r="F65" s="4" t="s">
        <v>106</v>
      </c>
      <c r="G65">
        <v>0.69127915789805239</v>
      </c>
      <c r="I65">
        <v>7.9589533053463543E-2</v>
      </c>
      <c r="K65">
        <v>0.19966171191575266</v>
      </c>
      <c r="L65">
        <v>2.7439676411314071</v>
      </c>
      <c r="M65">
        <v>2.6442330705773776</v>
      </c>
      <c r="N65">
        <v>9.9734570554029567E-2</v>
      </c>
      <c r="P65" s="2">
        <v>23.050504047572399</v>
      </c>
      <c r="Q65" s="2">
        <v>28.507212967009401</v>
      </c>
      <c r="R65" s="2">
        <v>34.071878389646002</v>
      </c>
      <c r="S65">
        <v>26.270775</v>
      </c>
      <c r="T65">
        <v>28.096547999999999</v>
      </c>
      <c r="U65">
        <v>27.258880000000001</v>
      </c>
      <c r="V65">
        <v>24.272321999999999</v>
      </c>
      <c r="W65">
        <v>25.455400000000001</v>
      </c>
      <c r="AK65">
        <v>18566</v>
      </c>
      <c r="AL65">
        <v>-19.645119999999999</v>
      </c>
      <c r="AM65">
        <v>113.81055000000001</v>
      </c>
      <c r="AN65">
        <v>3.5081834066659212E-3</v>
      </c>
      <c r="AO65">
        <v>0.22454039752483371</v>
      </c>
      <c r="AP65" s="2">
        <f t="shared" si="4"/>
        <v>0.41066496700940291</v>
      </c>
    </row>
    <row r="66" spans="1:42" x14ac:dyDescent="0.2">
      <c r="A66">
        <v>18567</v>
      </c>
      <c r="B66">
        <v>1131</v>
      </c>
      <c r="C66">
        <v>-19.520579999999999</v>
      </c>
      <c r="D66">
        <v>113.05877</v>
      </c>
      <c r="E66" s="3" t="s">
        <v>25</v>
      </c>
      <c r="F66" s="4" t="s">
        <v>110</v>
      </c>
      <c r="G66">
        <v>0.6839769679974953</v>
      </c>
      <c r="I66">
        <v>6.2820101315991458E-2</v>
      </c>
      <c r="K66">
        <v>0.20193540525843898</v>
      </c>
      <c r="L66">
        <v>2.7531903721154665</v>
      </c>
      <c r="M66">
        <v>2.616515050575404</v>
      </c>
      <c r="N66">
        <v>0.13667532154006246</v>
      </c>
      <c r="P66" s="2">
        <v>22.452929068559399</v>
      </c>
      <c r="Q66" s="2">
        <v>27.694671491290901</v>
      </c>
      <c r="R66" s="2">
        <v>33.4534675879056</v>
      </c>
      <c r="S66">
        <v>26.157063999999998</v>
      </c>
      <c r="T66">
        <v>27.999480999999999</v>
      </c>
      <c r="U66">
        <v>27.134108000000001</v>
      </c>
      <c r="V66">
        <v>24.098333</v>
      </c>
      <c r="W66">
        <v>25.396286</v>
      </c>
      <c r="AK66">
        <v>18567</v>
      </c>
      <c r="AL66">
        <v>-19.520579999999999</v>
      </c>
      <c r="AM66">
        <v>113.05877</v>
      </c>
      <c r="AN66">
        <v>3.67910391651094E-3</v>
      </c>
      <c r="AO66">
        <v>0.22454039752483371</v>
      </c>
      <c r="AP66" s="2">
        <f t="shared" si="4"/>
        <v>-0.30480950870909851</v>
      </c>
    </row>
    <row r="67" spans="1:42" x14ac:dyDescent="0.2">
      <c r="A67">
        <v>18568</v>
      </c>
      <c r="B67">
        <v>1100</v>
      </c>
      <c r="C67">
        <v>-20.610029999999998</v>
      </c>
      <c r="D67">
        <v>113.62438</v>
      </c>
      <c r="E67" s="3" t="s">
        <v>25</v>
      </c>
      <c r="F67" s="4" t="s">
        <v>114</v>
      </c>
      <c r="G67">
        <v>0.68994438386168089</v>
      </c>
      <c r="I67">
        <v>6.7866166866516156E-2</v>
      </c>
      <c r="K67">
        <v>0.1960926117797562</v>
      </c>
      <c r="L67">
        <v>2.7589807655713123</v>
      </c>
      <c r="M67">
        <v>2.6391400237964571</v>
      </c>
      <c r="N67">
        <v>0.11984074177485526</v>
      </c>
      <c r="P67" s="2">
        <v>23.4220277179178</v>
      </c>
      <c r="Q67" s="2">
        <v>28.3774878837046</v>
      </c>
      <c r="R67" s="2">
        <v>33.973402224913698</v>
      </c>
      <c r="S67">
        <v>25.898916</v>
      </c>
      <c r="T67">
        <v>27.819566999999999</v>
      </c>
      <c r="U67">
        <v>26.961151000000001</v>
      </c>
      <c r="V67">
        <v>23.873000999999999</v>
      </c>
      <c r="W67">
        <v>24.941932999999999</v>
      </c>
      <c r="AK67">
        <v>18568</v>
      </c>
      <c r="AL67">
        <v>-20.610029999999998</v>
      </c>
      <c r="AM67">
        <v>113.62438</v>
      </c>
      <c r="AN67">
        <v>3.4706280566751961E-3</v>
      </c>
      <c r="AO67">
        <v>0.2274220734834671</v>
      </c>
      <c r="AP67" s="2">
        <f t="shared" si="4"/>
        <v>0.55792088370460036</v>
      </c>
    </row>
    <row r="68" spans="1:42" x14ac:dyDescent="0.2">
      <c r="A68">
        <v>18570</v>
      </c>
      <c r="B68">
        <v>1182.4000000000001</v>
      </c>
      <c r="C68">
        <v>-20.991119999999999</v>
      </c>
      <c r="D68">
        <v>113.44884999999999</v>
      </c>
      <c r="E68" s="3" t="s">
        <v>25</v>
      </c>
      <c r="F68" s="4" t="s">
        <v>118</v>
      </c>
      <c r="G68">
        <v>0.68858325114803764</v>
      </c>
      <c r="H68">
        <v>4.8817658207127197E-3</v>
      </c>
      <c r="I68">
        <v>5.7103783159269755E-2</v>
      </c>
      <c r="J68">
        <v>6.0504034484600453E-3</v>
      </c>
      <c r="K68">
        <v>0.18078617080808235</v>
      </c>
      <c r="L68">
        <v>2.8629318460082605</v>
      </c>
      <c r="M68">
        <v>2.6339981444228253</v>
      </c>
      <c r="N68">
        <v>0.22893370158543491</v>
      </c>
      <c r="P68" s="2">
        <v>23.242877335586101</v>
      </c>
      <c r="Q68" s="2">
        <v>28.080304785192499</v>
      </c>
      <c r="R68" s="2">
        <v>33.9300741214998</v>
      </c>
      <c r="S68">
        <v>25.790619</v>
      </c>
      <c r="T68">
        <v>27.654160999999998</v>
      </c>
      <c r="U68">
        <v>26.889016999999999</v>
      </c>
      <c r="V68">
        <v>23.804971999999999</v>
      </c>
      <c r="W68">
        <v>24.814330999999999</v>
      </c>
      <c r="AK68">
        <v>18570</v>
      </c>
      <c r="AL68">
        <v>-20.991119999999999</v>
      </c>
      <c r="AM68">
        <v>113.44884999999999</v>
      </c>
      <c r="AN68">
        <v>3.8960967212915421E-3</v>
      </c>
      <c r="AO68">
        <v>0.2274220734834671</v>
      </c>
      <c r="AP68" s="2">
        <f t="shared" si="4"/>
        <v>0.42614378519250096</v>
      </c>
    </row>
    <row r="69" spans="1:42" x14ac:dyDescent="0.2">
      <c r="A69">
        <v>18571</v>
      </c>
      <c r="B69">
        <v>1049.3</v>
      </c>
      <c r="C69">
        <v>-22.111419999999999</v>
      </c>
      <c r="D69">
        <v>113.49442000000001</v>
      </c>
      <c r="E69" s="3" t="s">
        <v>25</v>
      </c>
      <c r="F69" s="4" t="s">
        <v>122</v>
      </c>
      <c r="G69">
        <v>0.67769139963683722</v>
      </c>
      <c r="H69">
        <v>4.1405029708462913E-3</v>
      </c>
      <c r="I69">
        <v>7.4841146142958836E-2</v>
      </c>
      <c r="J69">
        <v>2.9159161508354307E-3</v>
      </c>
      <c r="K69">
        <v>0.19434059933478698</v>
      </c>
      <c r="L69">
        <v>2.8091173913370469</v>
      </c>
      <c r="M69">
        <v>2.5929679829598511</v>
      </c>
      <c r="N69">
        <v>0.21614940837719598</v>
      </c>
      <c r="P69" s="2">
        <v>22.225891211685202</v>
      </c>
      <c r="Q69" s="2">
        <v>27.518822664655598</v>
      </c>
      <c r="R69" s="2">
        <v>33.408881833802901</v>
      </c>
      <c r="S69">
        <v>25.078882</v>
      </c>
      <c r="T69">
        <v>26.834534000000001</v>
      </c>
      <c r="U69">
        <v>26.347466000000001</v>
      </c>
      <c r="V69">
        <v>23.361115000000002</v>
      </c>
      <c r="W69">
        <v>23.772546999999999</v>
      </c>
      <c r="AK69">
        <v>18571</v>
      </c>
      <c r="AL69">
        <v>-22.111419999999999</v>
      </c>
      <c r="AM69">
        <v>113.49442000000001</v>
      </c>
      <c r="AN69">
        <v>2.5712044239044189</v>
      </c>
      <c r="AO69">
        <v>0.21737714111804959</v>
      </c>
      <c r="AP69" s="2">
        <f t="shared" si="4"/>
        <v>0.68428866465559679</v>
      </c>
    </row>
    <row r="70" spans="1:42" x14ac:dyDescent="0.2">
      <c r="A70">
        <v>18572</v>
      </c>
      <c r="B70">
        <v>1327.9</v>
      </c>
      <c r="C70">
        <v>-22.07827</v>
      </c>
      <c r="D70">
        <v>113.22843</v>
      </c>
      <c r="E70" s="3" t="s">
        <v>25</v>
      </c>
      <c r="F70" s="4" t="s">
        <v>126</v>
      </c>
      <c r="G70">
        <v>0.74355093716376497</v>
      </c>
      <c r="H70">
        <v>4.5403165713566417E-3</v>
      </c>
      <c r="I70">
        <v>0.15055429284700367</v>
      </c>
      <c r="J70">
        <v>1.1245093239636739E-2</v>
      </c>
      <c r="K70">
        <v>0.14393384933364317</v>
      </c>
      <c r="L70">
        <v>3.1579802952301721</v>
      </c>
      <c r="M70">
        <v>2.8530217456532996</v>
      </c>
      <c r="N70">
        <v>0.3049585495768723</v>
      </c>
      <c r="P70" s="2">
        <v>26.142017968530499</v>
      </c>
      <c r="Q70" s="2">
        <v>31.3747502197328</v>
      </c>
      <c r="R70" s="2">
        <v>36.920460453121898</v>
      </c>
      <c r="S70">
        <v>25.101096999999999</v>
      </c>
      <c r="T70">
        <v>26.871834</v>
      </c>
      <c r="U70">
        <v>26.304030999999998</v>
      </c>
      <c r="V70">
        <v>23.366112000000001</v>
      </c>
      <c r="W70">
        <v>23.862463000000002</v>
      </c>
      <c r="AK70">
        <v>18572</v>
      </c>
      <c r="AL70">
        <v>-22.07827</v>
      </c>
      <c r="AM70">
        <v>113.22843</v>
      </c>
      <c r="AN70">
        <v>2.3894815444946289</v>
      </c>
      <c r="AO70">
        <v>0.21737714111804959</v>
      </c>
      <c r="AP70" s="2">
        <f t="shared" si="4"/>
        <v>4.5029162197327999</v>
      </c>
    </row>
    <row r="71" spans="1:42" x14ac:dyDescent="0.2">
      <c r="A71">
        <v>18573</v>
      </c>
      <c r="B71">
        <v>1250.5</v>
      </c>
      <c r="C71">
        <v>-22.620719999999999</v>
      </c>
      <c r="D71">
        <v>112.83682</v>
      </c>
      <c r="E71" s="3" t="s">
        <v>25</v>
      </c>
      <c r="F71" s="4" t="s">
        <v>130</v>
      </c>
      <c r="G71">
        <v>0.66857161057353032</v>
      </c>
      <c r="H71">
        <v>1.49889934837114E-3</v>
      </c>
      <c r="I71">
        <v>6.0007241033976935E-2</v>
      </c>
      <c r="J71">
        <v>1.0653819013693441E-2</v>
      </c>
      <c r="K71">
        <v>0.19395375359434239</v>
      </c>
      <c r="L71">
        <v>2.7485168362090224</v>
      </c>
      <c r="M71">
        <v>2.5592037442825633</v>
      </c>
      <c r="N71">
        <v>0.18931309192645895</v>
      </c>
      <c r="P71" s="2">
        <v>22.123608703305401</v>
      </c>
      <c r="Q71" s="2">
        <v>27.0234464516736</v>
      </c>
      <c r="R71" s="2">
        <v>32.580988870398699</v>
      </c>
      <c r="S71">
        <v>24.818114999999999</v>
      </c>
      <c r="T71">
        <v>26.574172999999998</v>
      </c>
      <c r="U71">
        <v>25.984064</v>
      </c>
      <c r="V71">
        <v>23.135950000000001</v>
      </c>
      <c r="W71">
        <v>23.578317999999999</v>
      </c>
      <c r="AK71">
        <v>18573</v>
      </c>
      <c r="AL71">
        <v>-22.620719999999999</v>
      </c>
      <c r="AM71">
        <v>112.83682</v>
      </c>
      <c r="AN71">
        <v>2.1284298896789551</v>
      </c>
      <c r="AO71">
        <v>0.2387101799249649</v>
      </c>
      <c r="AP71" s="2">
        <f t="shared" si="4"/>
        <v>0.44927345167360144</v>
      </c>
    </row>
    <row r="72" spans="1:42" x14ac:dyDescent="0.2">
      <c r="A72">
        <v>18574</v>
      </c>
      <c r="B72">
        <v>504.5</v>
      </c>
      <c r="C72">
        <v>-24.231549999999999</v>
      </c>
      <c r="D72">
        <v>112.36862000000001</v>
      </c>
      <c r="E72" s="3" t="s">
        <v>25</v>
      </c>
      <c r="F72" s="4" t="s">
        <v>134</v>
      </c>
      <c r="G72">
        <v>0.71047383947666387</v>
      </c>
      <c r="H72">
        <v>6.1202476533959646E-3</v>
      </c>
      <c r="I72">
        <v>4.4688349143981579E-2</v>
      </c>
      <c r="J72">
        <v>9.0597916076944444E-3</v>
      </c>
      <c r="K72">
        <v>0.15578131003043227</v>
      </c>
      <c r="L72">
        <v>3.0438839885180675</v>
      </c>
      <c r="M72">
        <v>2.718843937186957</v>
      </c>
      <c r="N72">
        <v>0.32504005133111069</v>
      </c>
      <c r="P72" s="2">
        <v>23.9826856082151</v>
      </c>
      <c r="Q72" s="2">
        <v>29.272755087240999</v>
      </c>
      <c r="R72" s="2">
        <v>35.457738007498399</v>
      </c>
      <c r="S72">
        <v>23.888487000000001</v>
      </c>
      <c r="T72">
        <v>25.307784999999999</v>
      </c>
      <c r="U72">
        <v>25.077272000000001</v>
      </c>
      <c r="V72">
        <v>22.429452999999999</v>
      </c>
      <c r="W72">
        <v>22.739494000000001</v>
      </c>
      <c r="AK72">
        <v>18574</v>
      </c>
      <c r="AL72">
        <v>-24.231549999999999</v>
      </c>
      <c r="AM72">
        <v>112.36862000000001</v>
      </c>
      <c r="AN72">
        <v>1.2752348184585569</v>
      </c>
      <c r="AO72">
        <v>0.1945185512304306</v>
      </c>
      <c r="AP72" s="2">
        <f t="shared" si="4"/>
        <v>3.9649700872409994</v>
      </c>
    </row>
    <row r="73" spans="1:42" x14ac:dyDescent="0.2">
      <c r="A73">
        <v>18575</v>
      </c>
      <c r="B73">
        <v>1032</v>
      </c>
      <c r="C73">
        <v>-24.231529999999999</v>
      </c>
      <c r="D73">
        <v>111.85302</v>
      </c>
      <c r="E73" s="3" t="s">
        <v>25</v>
      </c>
      <c r="F73" s="4" t="s">
        <v>138</v>
      </c>
      <c r="G73">
        <v>0.70011944310443108</v>
      </c>
      <c r="H73">
        <v>5.7120856115407473E-3</v>
      </c>
      <c r="I73">
        <v>0.1084593728599523</v>
      </c>
      <c r="J73">
        <v>5.7669884203332107E-3</v>
      </c>
      <c r="K73">
        <v>0.18966751279640187</v>
      </c>
      <c r="L73">
        <v>2.8392678285440858</v>
      </c>
      <c r="M73">
        <v>2.6783174100748548</v>
      </c>
      <c r="N73">
        <v>0.16095041846923097</v>
      </c>
      <c r="P73" s="2">
        <v>23.619059250323598</v>
      </c>
      <c r="Q73" s="2">
        <v>28.500333620124</v>
      </c>
      <c r="R73" s="2">
        <v>34.2628300200643</v>
      </c>
      <c r="S73">
        <v>23.845445999999999</v>
      </c>
      <c r="T73">
        <v>25.291899999999998</v>
      </c>
      <c r="U73">
        <v>24.945679999999999</v>
      </c>
      <c r="V73">
        <v>22.348669999999998</v>
      </c>
      <c r="W73">
        <v>22.795529999999999</v>
      </c>
      <c r="AK73">
        <v>18575</v>
      </c>
      <c r="AL73">
        <v>-24.231529999999999</v>
      </c>
      <c r="AM73">
        <v>111.85302</v>
      </c>
      <c r="AN73">
        <v>4.5053092762827873E-3</v>
      </c>
      <c r="AO73">
        <v>0.22736407816410059</v>
      </c>
      <c r="AP73" s="2">
        <f t="shared" si="4"/>
        <v>3.2084336201240014</v>
      </c>
    </row>
    <row r="74" spans="1:42" x14ac:dyDescent="0.2">
      <c r="A74">
        <v>18576</v>
      </c>
      <c r="B74">
        <v>1725.9</v>
      </c>
      <c r="C74">
        <v>-24.139849999999999</v>
      </c>
      <c r="D74">
        <v>111.34083</v>
      </c>
      <c r="E74" s="3" t="s">
        <v>25</v>
      </c>
      <c r="F74" s="4" t="s">
        <v>142</v>
      </c>
      <c r="G74">
        <v>0.69512263540613328</v>
      </c>
      <c r="H74">
        <v>9.7967276618290793E-3</v>
      </c>
      <c r="I74">
        <v>8.8475205460745512E-2</v>
      </c>
      <c r="J74">
        <v>2.9520664014616562E-3</v>
      </c>
      <c r="K74">
        <v>0.20674971542700959</v>
      </c>
      <c r="L74">
        <v>2.6604792374114412</v>
      </c>
      <c r="M74">
        <v>2.6591238784894324</v>
      </c>
      <c r="N74">
        <v>2.3400753655477446E-2</v>
      </c>
      <c r="P74" s="2">
        <v>23.4848294597445</v>
      </c>
      <c r="Q74" s="2">
        <v>28.584488519926101</v>
      </c>
      <c r="R74" s="2">
        <v>34.052980177737297</v>
      </c>
      <c r="S74">
        <v>23.723130999999999</v>
      </c>
      <c r="T74">
        <v>25.187078</v>
      </c>
      <c r="U74">
        <v>24.752838000000001</v>
      </c>
      <c r="V74">
        <v>22.209914999999999</v>
      </c>
      <c r="W74">
        <v>22.742683</v>
      </c>
      <c r="AK74">
        <v>18576</v>
      </c>
      <c r="AL74">
        <v>-24.139849999999999</v>
      </c>
      <c r="AM74">
        <v>111.34083</v>
      </c>
      <c r="AN74">
        <v>2.838126383721828E-3</v>
      </c>
      <c r="AO74">
        <v>0.22736407816410059</v>
      </c>
      <c r="AP74" s="2">
        <f t="shared" si="4"/>
        <v>3.3974105199261011</v>
      </c>
    </row>
    <row r="75" spans="1:42" x14ac:dyDescent="0.2">
      <c r="A75">
        <v>18578</v>
      </c>
      <c r="B75">
        <v>1678.9</v>
      </c>
      <c r="C75">
        <v>-25.37097</v>
      </c>
      <c r="D75">
        <v>111.09522</v>
      </c>
      <c r="E75" s="3" t="s">
        <v>25</v>
      </c>
      <c r="F75" s="4" t="s">
        <v>146</v>
      </c>
      <c r="G75">
        <v>0.70049352174672497</v>
      </c>
      <c r="H75">
        <v>1.4479738950648987E-2</v>
      </c>
      <c r="I75">
        <v>7.5177869779937595E-2</v>
      </c>
      <c r="J75">
        <v>1.5182272787356423E-2</v>
      </c>
      <c r="K75">
        <v>0.17943752721350076</v>
      </c>
      <c r="L75">
        <v>2.8680938215888352</v>
      </c>
      <c r="M75">
        <v>2.6800627262798624</v>
      </c>
      <c r="N75">
        <v>0.188031095308973</v>
      </c>
      <c r="P75" s="2">
        <v>23.530198069310199</v>
      </c>
      <c r="Q75" s="2">
        <v>28.7013924854053</v>
      </c>
      <c r="R75" s="2">
        <v>34.2111240400816</v>
      </c>
      <c r="S75">
        <v>23.041371999999999</v>
      </c>
      <c r="T75">
        <v>24.585049999999999</v>
      </c>
      <c r="U75">
        <v>23.847498000000002</v>
      </c>
      <c r="V75">
        <v>21.504003999999998</v>
      </c>
      <c r="W75">
        <v>22.228935</v>
      </c>
      <c r="AK75">
        <v>18578</v>
      </c>
      <c r="AL75">
        <v>-25.37097</v>
      </c>
      <c r="AM75">
        <v>111.09522</v>
      </c>
      <c r="AN75">
        <v>2.3379041813313961E-3</v>
      </c>
      <c r="AO75">
        <v>0.21727000176906591</v>
      </c>
      <c r="AP75" s="2">
        <f t="shared" si="4"/>
        <v>4.1163424854053012</v>
      </c>
    </row>
    <row r="76" spans="1:42" x14ac:dyDescent="0.2">
      <c r="A76">
        <v>18579</v>
      </c>
      <c r="B76">
        <v>715.1</v>
      </c>
      <c r="C76">
        <v>-25.10155</v>
      </c>
      <c r="D76">
        <v>111.84885</v>
      </c>
      <c r="E76" s="3" t="s">
        <v>25</v>
      </c>
      <c r="F76" s="4" t="s">
        <v>150</v>
      </c>
      <c r="G76">
        <v>0.76165349710838037</v>
      </c>
      <c r="H76">
        <v>1.9526486383917033E-2</v>
      </c>
      <c r="I76">
        <v>0.10866060256822914</v>
      </c>
      <c r="J76">
        <v>6.7171867252211219E-5</v>
      </c>
      <c r="K76">
        <v>0.14052556870670549</v>
      </c>
      <c r="L76">
        <v>3.1419628007872165</v>
      </c>
      <c r="M76">
        <v>2.9301450229822321</v>
      </c>
      <c r="N76">
        <v>0.21181777780498456</v>
      </c>
      <c r="P76" s="2">
        <v>26.7990252775672</v>
      </c>
      <c r="Q76" s="2">
        <v>32.325689477711698</v>
      </c>
      <c r="R76" s="2">
        <v>38.731219881695097</v>
      </c>
      <c r="S76">
        <v>23.422713999999999</v>
      </c>
      <c r="T76">
        <v>24.805016999999999</v>
      </c>
      <c r="U76">
        <v>24.484026</v>
      </c>
      <c r="V76">
        <v>21.93027</v>
      </c>
      <c r="W76">
        <v>22.47156</v>
      </c>
      <c r="AK76">
        <v>18579</v>
      </c>
      <c r="AL76">
        <v>-25.10155</v>
      </c>
      <c r="AM76">
        <v>111.84885</v>
      </c>
      <c r="AN76">
        <v>1.8975750207901001</v>
      </c>
      <c r="AO76">
        <v>0.21727000176906591</v>
      </c>
      <c r="AP76" s="2">
        <f t="shared" si="4"/>
        <v>7.5206724777116989</v>
      </c>
    </row>
    <row r="77" spans="1:42" x14ac:dyDescent="0.2">
      <c r="A77">
        <v>18580</v>
      </c>
      <c r="B77">
        <v>1369.1</v>
      </c>
      <c r="C77">
        <v>-24.568930000000002</v>
      </c>
      <c r="D77">
        <v>111.24592</v>
      </c>
      <c r="E77" s="3" t="s">
        <v>25</v>
      </c>
      <c r="F77" s="4" t="s">
        <v>154</v>
      </c>
      <c r="G77">
        <v>0.6925333082115952</v>
      </c>
      <c r="H77">
        <v>4.6289237897218834E-3</v>
      </c>
      <c r="I77">
        <v>0.10696665609787342</v>
      </c>
      <c r="J77">
        <v>5.709611698769896E-3</v>
      </c>
      <c r="K77">
        <v>0.17963609450917556</v>
      </c>
      <c r="L77">
        <v>2.8016317934591819</v>
      </c>
      <c r="M77">
        <v>2.6490648328918081</v>
      </c>
      <c r="N77">
        <v>0.15256696056737384</v>
      </c>
      <c r="P77" s="2">
        <v>22.9609645173419</v>
      </c>
      <c r="Q77" s="2">
        <v>28.206339300783</v>
      </c>
      <c r="R77" s="2">
        <v>34.105318784009398</v>
      </c>
      <c r="S77">
        <v>23.40541</v>
      </c>
      <c r="T77">
        <v>24.904914999999999</v>
      </c>
      <c r="U77">
        <v>24.309532000000001</v>
      </c>
      <c r="V77">
        <v>21.881492999999999</v>
      </c>
      <c r="W77">
        <v>22.525697999999998</v>
      </c>
      <c r="AK77">
        <v>18580</v>
      </c>
      <c r="AL77">
        <v>-24.568930000000002</v>
      </c>
      <c r="AM77">
        <v>111.24592</v>
      </c>
      <c r="AN77">
        <v>2.6941185351461172E-3</v>
      </c>
      <c r="AO77">
        <v>0.22736407816410059</v>
      </c>
      <c r="AP77" s="2">
        <f t="shared" si="4"/>
        <v>3.3014243007830011</v>
      </c>
    </row>
    <row r="78" spans="1:42" x14ac:dyDescent="0.2">
      <c r="A78">
        <v>18582</v>
      </c>
      <c r="B78">
        <v>1571.5</v>
      </c>
      <c r="C78">
        <v>-25.898330000000001</v>
      </c>
      <c r="D78">
        <v>111.37203</v>
      </c>
      <c r="E78" s="3" t="s">
        <v>25</v>
      </c>
      <c r="F78" s="4" t="s">
        <v>158</v>
      </c>
      <c r="G78">
        <v>0.69675479475903401</v>
      </c>
      <c r="H78">
        <v>1.4560375919232777E-2</v>
      </c>
      <c r="I78">
        <v>9.730515955182778E-2</v>
      </c>
      <c r="J78">
        <v>7.5821760172852621E-3</v>
      </c>
      <c r="K78">
        <v>0.17192460599846554</v>
      </c>
      <c r="L78">
        <v>2.8664421188749918</v>
      </c>
      <c r="M78">
        <v>2.6656019857288293</v>
      </c>
      <c r="N78">
        <v>0.20084013314616223</v>
      </c>
      <c r="P78" s="2">
        <v>23.2506087004436</v>
      </c>
      <c r="Q78" s="2">
        <v>28.4724373008032</v>
      </c>
      <c r="R78" s="2">
        <v>34.021012229859998</v>
      </c>
      <c r="S78">
        <v>22.897448000000001</v>
      </c>
      <c r="T78">
        <v>24.392088000000001</v>
      </c>
      <c r="U78">
        <v>23.798079000000001</v>
      </c>
      <c r="V78">
        <v>21.346450000000001</v>
      </c>
      <c r="W78">
        <v>22.053152000000001</v>
      </c>
      <c r="AK78">
        <v>18582</v>
      </c>
      <c r="AL78">
        <v>-25.898330000000001</v>
      </c>
      <c r="AM78">
        <v>111.37203</v>
      </c>
      <c r="AN78">
        <v>4.2466414161026478E-3</v>
      </c>
      <c r="AO78">
        <v>0.21727000176906591</v>
      </c>
      <c r="AP78" s="2">
        <f t="shared" si="4"/>
        <v>4.0803493008031992</v>
      </c>
    </row>
    <row r="79" spans="1:42" x14ac:dyDescent="0.2">
      <c r="A79">
        <v>18584</v>
      </c>
      <c r="B79">
        <v>1121.0999999999999</v>
      </c>
      <c r="C79">
        <v>-27.769770000000001</v>
      </c>
      <c r="D79">
        <v>112.42052</v>
      </c>
      <c r="E79" s="3" t="s">
        <v>25</v>
      </c>
      <c r="F79" s="4" t="s">
        <v>162</v>
      </c>
      <c r="G79">
        <v>0.7116882279101524</v>
      </c>
      <c r="H79">
        <v>2.4328568606812161E-3</v>
      </c>
      <c r="I79">
        <v>9.1237019704611677E-2</v>
      </c>
      <c r="J79">
        <v>1.5133981256152543E-2</v>
      </c>
      <c r="K79">
        <v>0.15090403253150689</v>
      </c>
      <c r="L79">
        <v>3.021448204899698</v>
      </c>
      <c r="M79">
        <v>2.7235903337411052</v>
      </c>
      <c r="N79">
        <v>0.29785787115859286</v>
      </c>
      <c r="P79" s="2">
        <v>23.864614198006599</v>
      </c>
      <c r="Q79" s="2">
        <v>29.2816059878846</v>
      </c>
      <c r="R79" s="2">
        <v>34.908697233090301</v>
      </c>
      <c r="S79">
        <v>22.307167</v>
      </c>
      <c r="T79">
        <v>23.599867</v>
      </c>
      <c r="U79">
        <v>23.624199999999998</v>
      </c>
      <c r="V79">
        <v>20.874455999999999</v>
      </c>
      <c r="W79">
        <v>21.130144000000001</v>
      </c>
      <c r="AK79">
        <v>18584</v>
      </c>
      <c r="AL79">
        <v>-27.769770000000001</v>
      </c>
      <c r="AM79">
        <v>112.42052</v>
      </c>
      <c r="AN79">
        <v>1.7514603137969971</v>
      </c>
      <c r="AO79">
        <v>0.20715115964412689</v>
      </c>
      <c r="AP79" s="2">
        <f t="shared" si="4"/>
        <v>5.6817389878846001</v>
      </c>
    </row>
    <row r="80" spans="1:42" x14ac:dyDescent="0.2">
      <c r="A80">
        <v>18585</v>
      </c>
      <c r="B80">
        <v>1182.7</v>
      </c>
      <c r="C80">
        <v>-27.255420000000001</v>
      </c>
      <c r="D80">
        <v>112.03628</v>
      </c>
      <c r="E80" s="3" t="s">
        <v>25</v>
      </c>
      <c r="F80" s="4" t="s">
        <v>166</v>
      </c>
      <c r="G80">
        <v>0.67486810911333051</v>
      </c>
      <c r="H80">
        <v>9.5847765673380114E-3</v>
      </c>
      <c r="I80">
        <v>6.5480755972747468E-2</v>
      </c>
      <c r="J80">
        <v>1.9746814772081303E-2</v>
      </c>
      <c r="K80">
        <v>0.18325488248078692</v>
      </c>
      <c r="L80">
        <v>2.7906226693637404</v>
      </c>
      <c r="M80">
        <v>2.5825879795642308</v>
      </c>
      <c r="N80">
        <v>0.20803468979950979</v>
      </c>
      <c r="P80" s="2">
        <v>22.361785385341602</v>
      </c>
      <c r="Q80" s="2">
        <v>27.169305145104001</v>
      </c>
      <c r="R80" s="2">
        <v>33.173220974281399</v>
      </c>
      <c r="S80">
        <v>22.46808</v>
      </c>
      <c r="T80">
        <v>23.753036000000002</v>
      </c>
      <c r="U80">
        <v>23.727148</v>
      </c>
      <c r="V80">
        <v>21.033234</v>
      </c>
      <c r="W80">
        <v>21.358910000000002</v>
      </c>
      <c r="AK80">
        <v>18585</v>
      </c>
      <c r="AL80">
        <v>-27.255420000000001</v>
      </c>
      <c r="AM80">
        <v>112.03628</v>
      </c>
      <c r="AN80">
        <v>1.4745656251907351</v>
      </c>
      <c r="AO80">
        <v>0.20715115964412689</v>
      </c>
      <c r="AP80" s="2">
        <f t="shared" si="4"/>
        <v>3.4162691451039997</v>
      </c>
    </row>
    <row r="81" spans="1:42" x14ac:dyDescent="0.2">
      <c r="A81">
        <v>18586</v>
      </c>
      <c r="B81">
        <v>1014.6</v>
      </c>
      <c r="C81">
        <v>-28.1418</v>
      </c>
      <c r="D81">
        <v>112.63387</v>
      </c>
      <c r="E81" s="3" t="s">
        <v>25</v>
      </c>
      <c r="F81" s="4" t="s">
        <v>170</v>
      </c>
      <c r="G81">
        <v>0.66035746363579262</v>
      </c>
      <c r="H81">
        <v>8.701315228923626E-3</v>
      </c>
      <c r="I81">
        <v>8.1486806787048782E-2</v>
      </c>
      <c r="J81">
        <v>1.7847135423709189E-2</v>
      </c>
      <c r="K81">
        <v>0.18272707577942549</v>
      </c>
      <c r="L81">
        <v>2.7731528772438425</v>
      </c>
      <c r="M81">
        <v>2.5294094092603139</v>
      </c>
      <c r="N81">
        <v>0.24374346798352819</v>
      </c>
      <c r="P81" s="2">
        <v>20.882965510500998</v>
      </c>
      <c r="Q81" s="2">
        <v>26.3214855135565</v>
      </c>
      <c r="R81" s="2">
        <v>31.500750986876699</v>
      </c>
      <c r="S81">
        <v>22.253112999999999</v>
      </c>
      <c r="T81">
        <v>23.526700999999999</v>
      </c>
      <c r="U81">
        <v>23.620567000000001</v>
      </c>
      <c r="V81">
        <v>20.809480000000001</v>
      </c>
      <c r="W81">
        <v>21.055681</v>
      </c>
      <c r="AK81">
        <v>18586</v>
      </c>
      <c r="AL81">
        <v>-28.1418</v>
      </c>
      <c r="AM81">
        <v>112.63387</v>
      </c>
      <c r="AN81">
        <v>1.634913325309753</v>
      </c>
      <c r="AO81">
        <v>0.2375408411026001</v>
      </c>
      <c r="AP81" s="2">
        <f t="shared" si="4"/>
        <v>2.7947845135565004</v>
      </c>
    </row>
    <row r="82" spans="1:42" x14ac:dyDescent="0.2">
      <c r="A82">
        <v>18587</v>
      </c>
      <c r="B82">
        <v>797.8</v>
      </c>
      <c r="C82">
        <v>-28.12893</v>
      </c>
      <c r="D82">
        <v>112.93697</v>
      </c>
      <c r="E82" s="3" t="s">
        <v>25</v>
      </c>
      <c r="F82" s="4" t="s">
        <v>174</v>
      </c>
      <c r="G82">
        <v>0.67662075966665913</v>
      </c>
      <c r="H82">
        <v>1.4400911756652318E-2</v>
      </c>
      <c r="I82">
        <v>4.5009831698537228E-2</v>
      </c>
      <c r="J82">
        <v>3.8847471485176938E-3</v>
      </c>
      <c r="K82">
        <v>0.17217005473363783</v>
      </c>
      <c r="L82">
        <v>3.0012334353792323</v>
      </c>
      <c r="M82">
        <v>2.5892942422547787</v>
      </c>
      <c r="N82">
        <v>0.41193919312445382</v>
      </c>
      <c r="P82" s="2">
        <v>21.909673289793002</v>
      </c>
      <c r="Q82" s="2">
        <v>27.2968556660906</v>
      </c>
      <c r="R82" s="2">
        <v>33.534643396668201</v>
      </c>
      <c r="S82">
        <v>22.318650000000002</v>
      </c>
      <c r="T82">
        <v>23.558716</v>
      </c>
      <c r="U82">
        <v>23.743155000000002</v>
      </c>
      <c r="V82">
        <v>20.87116</v>
      </c>
      <c r="W82">
        <v>21.101538000000001</v>
      </c>
      <c r="AK82">
        <v>18587</v>
      </c>
      <c r="AL82">
        <v>-28.12893</v>
      </c>
      <c r="AM82">
        <v>112.93697</v>
      </c>
      <c r="AN82">
        <v>1.4649007320404051</v>
      </c>
      <c r="AO82">
        <v>0.2375408411026001</v>
      </c>
      <c r="AP82" s="2">
        <f t="shared" si="4"/>
        <v>3.7381396660905999</v>
      </c>
    </row>
    <row r="83" spans="1:42" x14ac:dyDescent="0.2">
      <c r="A83">
        <v>18588</v>
      </c>
      <c r="B83">
        <v>810.2</v>
      </c>
      <c r="C83">
        <v>-28.384730000000001</v>
      </c>
      <c r="D83">
        <v>113.01653</v>
      </c>
      <c r="E83" s="3" t="s">
        <v>25</v>
      </c>
      <c r="F83" s="4" t="s">
        <v>178</v>
      </c>
      <c r="G83">
        <v>0.63937590148009882</v>
      </c>
      <c r="H83">
        <v>3.471061836693874E-3</v>
      </c>
      <c r="I83">
        <v>3.9657842895809703E-2</v>
      </c>
      <c r="J83">
        <v>7.0392286798031415E-3</v>
      </c>
      <c r="K83">
        <v>0.19279252960815396</v>
      </c>
      <c r="L83">
        <v>2.6703864763855112</v>
      </c>
      <c r="M83">
        <v>2.4549216800553628</v>
      </c>
      <c r="N83">
        <v>0.21546479633014837</v>
      </c>
      <c r="P83" s="2">
        <v>19.795967908051502</v>
      </c>
      <c r="Q83" s="2">
        <v>24.757546458642199</v>
      </c>
      <c r="R83" s="2">
        <v>30.544909369706101</v>
      </c>
      <c r="S83">
        <v>22.215532</v>
      </c>
      <c r="T83">
        <v>23.425932</v>
      </c>
      <c r="U83">
        <v>23.639816</v>
      </c>
      <c r="V83">
        <v>20.801867000000001</v>
      </c>
      <c r="W83">
        <v>20.994520000000001</v>
      </c>
      <c r="AK83">
        <v>18588</v>
      </c>
      <c r="AL83">
        <v>-28.384730000000001</v>
      </c>
      <c r="AM83">
        <v>113.01653</v>
      </c>
      <c r="AN83">
        <v>1.357004642486572</v>
      </c>
      <c r="AO83">
        <v>0.24146933853626251</v>
      </c>
      <c r="AP83" s="2">
        <f t="shared" si="4"/>
        <v>1.3316144586421998</v>
      </c>
    </row>
    <row r="84" spans="1:42" x14ac:dyDescent="0.2">
      <c r="A84">
        <v>18589</v>
      </c>
      <c r="B84">
        <v>2485.8000000000002</v>
      </c>
      <c r="C84">
        <v>-28.967880000000001</v>
      </c>
      <c r="D84">
        <v>112.87597</v>
      </c>
      <c r="E84" s="3" t="s">
        <v>25</v>
      </c>
      <c r="F84" s="4" t="s">
        <v>182</v>
      </c>
      <c r="G84">
        <v>0.62446381560908715</v>
      </c>
      <c r="H84">
        <v>4.5095271033355365E-3</v>
      </c>
      <c r="I84">
        <v>7.545495522050244E-2</v>
      </c>
      <c r="J84">
        <v>1.064835432834908E-3</v>
      </c>
      <c r="K84">
        <v>0.20683636196483116</v>
      </c>
      <c r="L84">
        <v>2.4785413660657829</v>
      </c>
      <c r="M84">
        <v>2.4038474087233968</v>
      </c>
      <c r="N84">
        <v>7.4693957342386152E-2</v>
      </c>
      <c r="P84" s="2">
        <v>18.7220234390626</v>
      </c>
      <c r="Q84" s="2">
        <v>24.073587817238</v>
      </c>
      <c r="R84" s="2">
        <v>29.476109910925899</v>
      </c>
      <c r="S84">
        <v>21.861333999999999</v>
      </c>
      <c r="T84">
        <v>23.116952999999999</v>
      </c>
      <c r="U84">
        <v>23.15053</v>
      </c>
      <c r="V84">
        <v>20.463839</v>
      </c>
      <c r="W84">
        <v>20.713951000000002</v>
      </c>
      <c r="AK84">
        <v>18589</v>
      </c>
      <c r="AL84">
        <v>-28.967880000000001</v>
      </c>
      <c r="AM84">
        <v>112.87597</v>
      </c>
      <c r="AN84">
        <v>1.4317140579223631</v>
      </c>
      <c r="AO84">
        <v>0.2375408411026001</v>
      </c>
      <c r="AP84" s="2">
        <f t="shared" si="4"/>
        <v>0.95663481723800103</v>
      </c>
    </row>
    <row r="86" spans="1:42" x14ac:dyDescent="0.2">
      <c r="F86"/>
      <c r="N86"/>
      <c r="O86"/>
      <c r="P86"/>
    </row>
    <row r="87" spans="1:42" x14ac:dyDescent="0.2">
      <c r="F87"/>
      <c r="N87"/>
      <c r="O87"/>
      <c r="P87"/>
    </row>
    <row r="88" spans="1:42" x14ac:dyDescent="0.2">
      <c r="F88"/>
      <c r="N88"/>
      <c r="O88"/>
      <c r="P88"/>
    </row>
    <row r="89" spans="1:42" x14ac:dyDescent="0.2">
      <c r="F89"/>
      <c r="N89"/>
      <c r="O89"/>
      <c r="P89"/>
    </row>
    <row r="90" spans="1:42" x14ac:dyDescent="0.2">
      <c r="F90"/>
      <c r="N90"/>
      <c r="O90"/>
      <c r="P90"/>
    </row>
    <row r="91" spans="1:42" x14ac:dyDescent="0.2">
      <c r="F91"/>
      <c r="N91"/>
      <c r="O91"/>
      <c r="P91"/>
    </row>
    <row r="92" spans="1:42" x14ac:dyDescent="0.2">
      <c r="F92"/>
      <c r="N92"/>
      <c r="O92"/>
      <c r="P92"/>
    </row>
    <row r="93" spans="1:42" x14ac:dyDescent="0.2">
      <c r="F93"/>
      <c r="N93"/>
      <c r="O93"/>
      <c r="P93"/>
    </row>
    <row r="94" spans="1:42" x14ac:dyDescent="0.2">
      <c r="F94"/>
      <c r="N94"/>
      <c r="O94"/>
      <c r="P94"/>
    </row>
    <row r="95" spans="1:42" x14ac:dyDescent="0.2">
      <c r="F95"/>
      <c r="N95"/>
      <c r="O95"/>
      <c r="P95"/>
    </row>
    <row r="96" spans="1:42" x14ac:dyDescent="0.2">
      <c r="F96"/>
      <c r="N96"/>
      <c r="O96"/>
      <c r="P96"/>
    </row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</sheetData>
  <mergeCells count="4">
    <mergeCell ref="G3:H3"/>
    <mergeCell ref="I3:J3"/>
    <mergeCell ref="G46:H46"/>
    <mergeCell ref="I46:J4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F2DE-8B8B-EA43-BA78-F353EC2C078A}">
  <dimension ref="A1:U49"/>
  <sheetViews>
    <sheetView workbookViewId="0">
      <selection activeCell="P38" sqref="P38"/>
    </sheetView>
  </sheetViews>
  <sheetFormatPr baseColWidth="10" defaultColWidth="11.5" defaultRowHeight="16" x14ac:dyDescent="0.2"/>
  <cols>
    <col min="6" max="6" width="11.5" style="29"/>
    <col min="7" max="7" width="11.5" style="4"/>
    <col min="8" max="8" width="13.33203125" customWidth="1"/>
    <col min="9" max="11" width="10.83203125"/>
    <col min="16" max="17" width="8.83203125"/>
  </cols>
  <sheetData>
    <row r="1" spans="1:21" s="8" customFormat="1" x14ac:dyDescent="0.2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11" t="s">
        <v>14</v>
      </c>
      <c r="G1" s="17"/>
      <c r="H1" s="10" t="s">
        <v>15</v>
      </c>
      <c r="I1" s="11" t="s">
        <v>11</v>
      </c>
      <c r="J1" s="11" t="s">
        <v>12</v>
      </c>
      <c r="K1" s="11" t="s">
        <v>13</v>
      </c>
      <c r="M1" s="12" t="s">
        <v>16</v>
      </c>
      <c r="N1" s="12" t="s">
        <v>17</v>
      </c>
      <c r="O1" s="12" t="s">
        <v>18</v>
      </c>
      <c r="P1" s="12" t="s">
        <v>228</v>
      </c>
      <c r="Q1" s="12" t="s">
        <v>229</v>
      </c>
      <c r="S1" s="8" t="s">
        <v>19</v>
      </c>
    </row>
    <row r="2" spans="1:21" s="14" customFormat="1" ht="17" thickBot="1" x14ac:dyDescent="0.25">
      <c r="A2" s="13"/>
      <c r="F2" s="27"/>
      <c r="G2" s="18"/>
      <c r="I2" s="14" t="s">
        <v>22</v>
      </c>
      <c r="J2" s="14" t="s">
        <v>22</v>
      </c>
      <c r="K2" s="14" t="s">
        <v>22</v>
      </c>
      <c r="M2" s="16" t="s">
        <v>227</v>
      </c>
      <c r="N2" s="16" t="s">
        <v>227</v>
      </c>
      <c r="O2" s="16" t="s">
        <v>227</v>
      </c>
      <c r="P2" s="16" t="s">
        <v>227</v>
      </c>
      <c r="Q2" s="16" t="s">
        <v>227</v>
      </c>
      <c r="S2" s="15" t="s">
        <v>23</v>
      </c>
      <c r="T2" s="15" t="s">
        <v>24</v>
      </c>
    </row>
    <row r="3" spans="1:21" x14ac:dyDescent="0.2">
      <c r="A3">
        <v>18547</v>
      </c>
      <c r="B3">
        <v>1460.5</v>
      </c>
      <c r="C3">
        <v>-15.055149999999999</v>
      </c>
      <c r="D3">
        <v>120.4362</v>
      </c>
      <c r="E3" t="s">
        <v>25</v>
      </c>
      <c r="F3" s="28" t="s">
        <v>26</v>
      </c>
      <c r="G3" s="26" t="s">
        <v>309</v>
      </c>
      <c r="H3">
        <v>0.98754813188061763</v>
      </c>
      <c r="I3">
        <v>25.573858434520901</v>
      </c>
      <c r="J3">
        <v>29.948080552460102</v>
      </c>
      <c r="K3">
        <v>36.353939345738098</v>
      </c>
      <c r="M3" t="s">
        <v>27</v>
      </c>
      <c r="N3" t="s">
        <v>28</v>
      </c>
      <c r="O3" t="s">
        <v>29</v>
      </c>
      <c r="P3" t="s">
        <v>230</v>
      </c>
      <c r="Q3" t="s">
        <v>231</v>
      </c>
      <c r="S3">
        <v>18547</v>
      </c>
      <c r="T3">
        <v>0.98069835900000002</v>
      </c>
    </row>
    <row r="4" spans="1:21" x14ac:dyDescent="0.2">
      <c r="E4" t="s">
        <v>30</v>
      </c>
      <c r="F4" s="29" t="s">
        <v>31</v>
      </c>
      <c r="H4">
        <v>0.97506283608556832</v>
      </c>
      <c r="I4">
        <v>25.103946545603002</v>
      </c>
      <c r="J4">
        <v>29.325115801076102</v>
      </c>
      <c r="K4">
        <v>35.628263068196702</v>
      </c>
      <c r="S4">
        <v>18548</v>
      </c>
      <c r="T4">
        <v>0.98784130800000003</v>
      </c>
      <c r="U4" t="s">
        <v>226</v>
      </c>
    </row>
    <row r="5" spans="1:21" x14ac:dyDescent="0.2">
      <c r="A5">
        <v>18549</v>
      </c>
      <c r="B5">
        <v>1628.5</v>
      </c>
      <c r="C5">
        <v>-15.961550000000001</v>
      </c>
      <c r="D5">
        <v>119.50967</v>
      </c>
      <c r="E5" t="s">
        <v>25</v>
      </c>
      <c r="F5" s="29" t="s">
        <v>32</v>
      </c>
      <c r="H5">
        <v>0.97153867808225824</v>
      </c>
      <c r="I5">
        <v>24.992873818402298</v>
      </c>
      <c r="J5">
        <v>29.165446908123599</v>
      </c>
      <c r="K5">
        <v>35.437149913959303</v>
      </c>
      <c r="M5" t="s">
        <v>33</v>
      </c>
      <c r="N5" t="s">
        <v>34</v>
      </c>
      <c r="O5" t="s">
        <v>35</v>
      </c>
      <c r="P5" t="s">
        <v>232</v>
      </c>
      <c r="Q5" t="s">
        <v>233</v>
      </c>
    </row>
    <row r="6" spans="1:21" x14ac:dyDescent="0.2">
      <c r="E6" t="s">
        <v>30</v>
      </c>
      <c r="F6" s="29" t="s">
        <v>36</v>
      </c>
      <c r="H6">
        <v>0.96305887326921047</v>
      </c>
      <c r="I6">
        <v>24.7134315632549</v>
      </c>
      <c r="J6">
        <v>28.742286577161099</v>
      </c>
      <c r="K6">
        <v>34.956819177016797</v>
      </c>
    </row>
    <row r="7" spans="1:21" x14ac:dyDescent="0.2">
      <c r="A7">
        <v>18550</v>
      </c>
      <c r="B7">
        <v>1388</v>
      </c>
      <c r="C7">
        <v>-16.859529999999999</v>
      </c>
      <c r="D7">
        <v>118.75702</v>
      </c>
      <c r="E7" t="s">
        <v>25</v>
      </c>
      <c r="F7" s="28" t="s">
        <v>37</v>
      </c>
      <c r="G7" s="26" t="s">
        <v>309</v>
      </c>
      <c r="H7">
        <v>0.97714103319583578</v>
      </c>
      <c r="I7">
        <v>25.2075737504342</v>
      </c>
      <c r="J7">
        <v>29.3655108680754</v>
      </c>
      <c r="K7">
        <v>35.712713979641599</v>
      </c>
      <c r="M7" t="s">
        <v>38</v>
      </c>
      <c r="N7" t="s">
        <v>39</v>
      </c>
      <c r="O7" t="s">
        <v>40</v>
      </c>
      <c r="P7" t="s">
        <v>234</v>
      </c>
      <c r="Q7" t="s">
        <v>235</v>
      </c>
      <c r="S7">
        <v>18550</v>
      </c>
      <c r="T7">
        <v>0.97898361599999995</v>
      </c>
    </row>
    <row r="8" spans="1:21" x14ac:dyDescent="0.2">
      <c r="E8" t="s">
        <v>30</v>
      </c>
      <c r="F8" s="29" t="s">
        <v>41</v>
      </c>
      <c r="H8">
        <v>0.97834374079571773</v>
      </c>
      <c r="I8">
        <v>25.226943305553998</v>
      </c>
      <c r="J8">
        <v>29.473941512051301</v>
      </c>
      <c r="K8">
        <v>35.749537462042397</v>
      </c>
    </row>
    <row r="9" spans="1:21" x14ac:dyDescent="0.2">
      <c r="A9">
        <v>18551</v>
      </c>
      <c r="B9">
        <v>668.8</v>
      </c>
      <c r="C9">
        <v>-17.591550000000002</v>
      </c>
      <c r="D9">
        <v>118.44568</v>
      </c>
      <c r="E9" t="s">
        <v>25</v>
      </c>
      <c r="F9" s="28" t="s">
        <v>42</v>
      </c>
      <c r="G9" s="26" t="s">
        <v>309</v>
      </c>
      <c r="H9">
        <v>0.97130863012009894</v>
      </c>
      <c r="I9">
        <v>24.991015474359799</v>
      </c>
      <c r="J9">
        <v>29.114845533768701</v>
      </c>
      <c r="K9">
        <v>35.340027742995701</v>
      </c>
      <c r="M9" t="s">
        <v>43</v>
      </c>
      <c r="N9" t="s">
        <v>44</v>
      </c>
      <c r="O9" t="s">
        <v>45</v>
      </c>
      <c r="P9" t="s">
        <v>236</v>
      </c>
      <c r="Q9" t="s">
        <v>237</v>
      </c>
      <c r="S9">
        <v>18551</v>
      </c>
      <c r="T9">
        <v>0.98876887300000005</v>
      </c>
    </row>
    <row r="10" spans="1:21" x14ac:dyDescent="0.2">
      <c r="E10" t="s">
        <v>30</v>
      </c>
      <c r="F10" s="29" t="s">
        <v>46</v>
      </c>
      <c r="H10">
        <v>0.93249089155804299</v>
      </c>
      <c r="I10">
        <v>23.640234907273399</v>
      </c>
      <c r="J10">
        <v>27.231363785686</v>
      </c>
      <c r="K10">
        <v>33.085465505986797</v>
      </c>
    </row>
    <row r="11" spans="1:21" x14ac:dyDescent="0.2">
      <c r="A11">
        <v>18552</v>
      </c>
      <c r="B11">
        <v>1951.3</v>
      </c>
      <c r="C11">
        <v>-17.67595</v>
      </c>
      <c r="D11">
        <v>117.69401999999999</v>
      </c>
      <c r="E11" t="s">
        <v>25</v>
      </c>
      <c r="F11" s="29" t="s">
        <v>47</v>
      </c>
      <c r="H11">
        <v>0.97718708008769539</v>
      </c>
      <c r="I11">
        <v>25.195842606737202</v>
      </c>
      <c r="J11">
        <v>29.412206786830001</v>
      </c>
      <c r="K11">
        <v>35.723584326467801</v>
      </c>
      <c r="M11" t="s">
        <v>48</v>
      </c>
      <c r="N11" t="s">
        <v>49</v>
      </c>
      <c r="O11" t="s">
        <v>50</v>
      </c>
      <c r="P11" t="s">
        <v>238</v>
      </c>
      <c r="Q11" t="s">
        <v>239</v>
      </c>
      <c r="S11">
        <v>18552</v>
      </c>
      <c r="T11">
        <v>0.98233022000000003</v>
      </c>
    </row>
    <row r="12" spans="1:21" x14ac:dyDescent="0.2">
      <c r="E12" t="s">
        <v>30</v>
      </c>
      <c r="F12" s="29" t="s">
        <v>51</v>
      </c>
      <c r="H12">
        <v>0.97286599273091123</v>
      </c>
      <c r="I12">
        <v>25.0795686495326</v>
      </c>
      <c r="J12">
        <v>29.189319597630998</v>
      </c>
      <c r="K12">
        <v>35.465418024264302</v>
      </c>
    </row>
    <row r="13" spans="1:21" x14ac:dyDescent="0.2">
      <c r="A13">
        <v>18553</v>
      </c>
      <c r="B13">
        <v>1619.7</v>
      </c>
      <c r="C13">
        <v>-18.116350000000001</v>
      </c>
      <c r="D13">
        <v>117.11663</v>
      </c>
      <c r="E13" t="s">
        <v>25</v>
      </c>
      <c r="F13" s="29" t="s">
        <v>52</v>
      </c>
      <c r="H13">
        <v>0.96687415934186238</v>
      </c>
      <c r="I13">
        <v>24.8541081096946</v>
      </c>
      <c r="J13">
        <v>28.918404602019098</v>
      </c>
      <c r="K13">
        <v>35.1465799247473</v>
      </c>
      <c r="M13" t="s">
        <v>53</v>
      </c>
      <c r="N13" t="s">
        <v>54</v>
      </c>
      <c r="O13" t="s">
        <v>55</v>
      </c>
      <c r="P13" t="s">
        <v>240</v>
      </c>
      <c r="Q13" t="s">
        <v>241</v>
      </c>
    </row>
    <row r="14" spans="1:21" x14ac:dyDescent="0.2">
      <c r="A14">
        <v>18554</v>
      </c>
      <c r="B14">
        <v>497.9</v>
      </c>
      <c r="C14">
        <v>-18.53323</v>
      </c>
      <c r="D14">
        <v>117.36642000000001</v>
      </c>
      <c r="E14" t="s">
        <v>25</v>
      </c>
      <c r="F14" s="28" t="s">
        <v>56</v>
      </c>
      <c r="G14" s="26" t="s">
        <v>309</v>
      </c>
      <c r="H14">
        <v>0.97528067894243808</v>
      </c>
      <c r="I14">
        <v>25.114646758288998</v>
      </c>
      <c r="J14">
        <v>29.299421597148001</v>
      </c>
      <c r="K14">
        <v>35.623542960064803</v>
      </c>
      <c r="M14" t="s">
        <v>57</v>
      </c>
      <c r="N14" t="s">
        <v>58</v>
      </c>
      <c r="O14" t="s">
        <v>59</v>
      </c>
      <c r="P14" t="s">
        <v>242</v>
      </c>
      <c r="Q14" t="s">
        <v>243</v>
      </c>
      <c r="S14">
        <v>18554</v>
      </c>
      <c r="T14">
        <v>0.98754138800000002</v>
      </c>
    </row>
    <row r="15" spans="1:21" x14ac:dyDescent="0.2">
      <c r="E15" t="s">
        <v>30</v>
      </c>
      <c r="F15" s="29" t="s">
        <v>60</v>
      </c>
      <c r="H15">
        <v>0.95885887286997729</v>
      </c>
      <c r="I15">
        <v>24.5811229958436</v>
      </c>
      <c r="J15">
        <v>28.5372964407929</v>
      </c>
      <c r="K15">
        <v>34.683583567032201</v>
      </c>
    </row>
    <row r="16" spans="1:21" x14ac:dyDescent="0.2">
      <c r="A16">
        <v>18555</v>
      </c>
      <c r="B16">
        <v>1113.7</v>
      </c>
      <c r="C16">
        <v>-18.350850000000001</v>
      </c>
      <c r="D16">
        <v>117.25673</v>
      </c>
      <c r="E16" t="s">
        <v>25</v>
      </c>
      <c r="F16" s="29" t="s">
        <v>61</v>
      </c>
      <c r="H16">
        <v>0.97041202691145345</v>
      </c>
      <c r="I16">
        <v>24.943470422210702</v>
      </c>
      <c r="J16">
        <v>29.055872684674199</v>
      </c>
      <c r="K16">
        <v>35.308623602763802</v>
      </c>
      <c r="M16" t="s">
        <v>62</v>
      </c>
      <c r="N16" t="s">
        <v>63</v>
      </c>
      <c r="O16" t="s">
        <v>64</v>
      </c>
      <c r="P16" t="s">
        <v>244</v>
      </c>
      <c r="Q16" t="s">
        <v>245</v>
      </c>
      <c r="S16">
        <v>18555</v>
      </c>
      <c r="T16">
        <v>0.93977735399999995</v>
      </c>
    </row>
    <row r="17" spans="1:20" x14ac:dyDescent="0.2">
      <c r="E17" t="s">
        <v>30</v>
      </c>
      <c r="F17" s="29" t="s">
        <v>65</v>
      </c>
      <c r="H17">
        <v>0.958864210666312</v>
      </c>
      <c r="I17">
        <v>24.544613628195499</v>
      </c>
      <c r="J17">
        <v>28.550633802051902</v>
      </c>
      <c r="K17">
        <v>34.805151085520599</v>
      </c>
    </row>
    <row r="18" spans="1:20" x14ac:dyDescent="0.2">
      <c r="A18">
        <v>18556</v>
      </c>
      <c r="B18">
        <v>1843.6</v>
      </c>
      <c r="C18">
        <v>-17.1036</v>
      </c>
      <c r="D18">
        <v>117.23048</v>
      </c>
      <c r="E18" t="s">
        <v>30</v>
      </c>
      <c r="F18" s="28" t="s">
        <v>66</v>
      </c>
      <c r="G18" s="26" t="s">
        <v>309</v>
      </c>
      <c r="H18">
        <v>0.9712976402093968</v>
      </c>
      <c r="I18">
        <v>24.9853880795478</v>
      </c>
      <c r="J18">
        <v>29.102497050760299</v>
      </c>
      <c r="K18">
        <v>35.322413638727099</v>
      </c>
      <c r="M18" t="s">
        <v>67</v>
      </c>
      <c r="N18" t="s">
        <v>68</v>
      </c>
      <c r="O18" t="s">
        <v>69</v>
      </c>
      <c r="P18" t="s">
        <v>246</v>
      </c>
      <c r="Q18" t="s">
        <v>247</v>
      </c>
      <c r="S18">
        <v>18556</v>
      </c>
      <c r="T18">
        <v>0.97639193199999996</v>
      </c>
    </row>
    <row r="19" spans="1:20" x14ac:dyDescent="0.2">
      <c r="A19">
        <v>18557</v>
      </c>
      <c r="B19">
        <v>2405.9</v>
      </c>
      <c r="C19">
        <v>-17.54862</v>
      </c>
      <c r="D19">
        <v>117.14593000000001</v>
      </c>
      <c r="E19" s="3" t="s">
        <v>25</v>
      </c>
      <c r="F19" s="29" t="s">
        <v>70</v>
      </c>
      <c r="H19">
        <v>0.96863983037616319</v>
      </c>
      <c r="I19">
        <v>24.871160826968101</v>
      </c>
      <c r="J19">
        <v>29.044931542377402</v>
      </c>
      <c r="K19">
        <v>35.245449644325298</v>
      </c>
      <c r="M19" t="s">
        <v>71</v>
      </c>
      <c r="N19" t="s">
        <v>72</v>
      </c>
      <c r="O19" t="s">
        <v>73</v>
      </c>
      <c r="P19" t="s">
        <v>248</v>
      </c>
      <c r="Q19" t="s">
        <v>249</v>
      </c>
      <c r="S19">
        <v>18557</v>
      </c>
      <c r="T19">
        <v>0.94030209600000003</v>
      </c>
    </row>
    <row r="20" spans="1:20" x14ac:dyDescent="0.2">
      <c r="A20">
        <v>18558</v>
      </c>
      <c r="B20">
        <v>1755.4</v>
      </c>
      <c r="C20">
        <v>-18.399229999999999</v>
      </c>
      <c r="D20">
        <v>115.22788</v>
      </c>
      <c r="E20" t="s">
        <v>25</v>
      </c>
      <c r="F20" s="29" t="s">
        <v>74</v>
      </c>
      <c r="H20">
        <v>0.950212087482326</v>
      </c>
      <c r="I20">
        <v>24.2610460288093</v>
      </c>
      <c r="J20">
        <v>28.053957738194899</v>
      </c>
      <c r="K20">
        <v>34.1998371166911</v>
      </c>
      <c r="M20" t="s">
        <v>75</v>
      </c>
      <c r="N20" t="s">
        <v>76</v>
      </c>
      <c r="O20" t="s">
        <v>77</v>
      </c>
      <c r="P20" t="s">
        <v>250</v>
      </c>
      <c r="Q20" t="s">
        <v>251</v>
      </c>
    </row>
    <row r="21" spans="1:20" x14ac:dyDescent="0.2">
      <c r="E21" t="s">
        <v>30</v>
      </c>
      <c r="F21" s="29" t="s">
        <v>78</v>
      </c>
      <c r="H21">
        <v>0.96964439316273943</v>
      </c>
      <c r="I21">
        <v>24.960544162316602</v>
      </c>
      <c r="J21">
        <v>29.0583253512205</v>
      </c>
      <c r="K21">
        <v>35.3695542383591</v>
      </c>
    </row>
    <row r="22" spans="1:20" x14ac:dyDescent="0.2">
      <c r="A22">
        <v>18559</v>
      </c>
      <c r="B22">
        <v>1976.5</v>
      </c>
      <c r="C22">
        <v>-18.083320000000001</v>
      </c>
      <c r="D22">
        <v>115.04773</v>
      </c>
      <c r="E22" s="3" t="s">
        <v>25</v>
      </c>
      <c r="F22" s="29" t="s">
        <v>79</v>
      </c>
      <c r="H22">
        <v>0.95319101119563343</v>
      </c>
      <c r="I22">
        <v>24.3619287384047</v>
      </c>
      <c r="J22">
        <v>28.260296540064999</v>
      </c>
      <c r="K22">
        <v>34.340321681334601</v>
      </c>
      <c r="M22" t="s">
        <v>80</v>
      </c>
      <c r="N22" t="s">
        <v>81</v>
      </c>
      <c r="O22" t="s">
        <v>82</v>
      </c>
      <c r="P22" t="s">
        <v>252</v>
      </c>
      <c r="Q22" t="s">
        <v>253</v>
      </c>
      <c r="S22">
        <v>18559</v>
      </c>
      <c r="T22">
        <v>0.95402966600000005</v>
      </c>
    </row>
    <row r="23" spans="1:20" x14ac:dyDescent="0.2">
      <c r="E23" t="s">
        <v>30</v>
      </c>
      <c r="F23" s="29" t="s">
        <v>83</v>
      </c>
      <c r="H23">
        <v>0.95778873387181374</v>
      </c>
      <c r="I23">
        <v>24.554847152238501</v>
      </c>
      <c r="J23">
        <v>28.5183626736729</v>
      </c>
      <c r="K23">
        <v>34.705418482810998</v>
      </c>
    </row>
    <row r="24" spans="1:20" x14ac:dyDescent="0.2">
      <c r="A24">
        <v>18560</v>
      </c>
      <c r="B24">
        <v>868.8</v>
      </c>
      <c r="C24">
        <v>-19.30397</v>
      </c>
      <c r="D24">
        <v>115.43213</v>
      </c>
      <c r="E24" s="3" t="s">
        <v>25</v>
      </c>
      <c r="F24" s="29" t="s">
        <v>84</v>
      </c>
      <c r="H24">
        <v>0.95384842696273464</v>
      </c>
      <c r="I24">
        <v>24.437553585228201</v>
      </c>
      <c r="J24">
        <v>28.2878767676915</v>
      </c>
      <c r="K24">
        <v>34.407428929348903</v>
      </c>
      <c r="M24" t="s">
        <v>85</v>
      </c>
      <c r="N24" t="s">
        <v>86</v>
      </c>
      <c r="O24" t="s">
        <v>87</v>
      </c>
      <c r="P24" t="s">
        <v>254</v>
      </c>
      <c r="Q24" t="s">
        <v>255</v>
      </c>
    </row>
    <row r="25" spans="1:20" x14ac:dyDescent="0.2">
      <c r="A25">
        <v>18561</v>
      </c>
      <c r="B25">
        <v>1185</v>
      </c>
      <c r="C25">
        <v>-19.242529999999999</v>
      </c>
      <c r="D25">
        <v>115.39917</v>
      </c>
      <c r="E25" s="3" t="s">
        <v>25</v>
      </c>
      <c r="F25" s="29" t="s">
        <v>88</v>
      </c>
      <c r="H25">
        <v>0.96198608520506945</v>
      </c>
      <c r="I25">
        <v>24.6706726064298</v>
      </c>
      <c r="J25">
        <v>28.698605589091901</v>
      </c>
      <c r="K25">
        <v>34.817585173832498</v>
      </c>
      <c r="M25" t="s">
        <v>89</v>
      </c>
      <c r="N25" t="s">
        <v>90</v>
      </c>
      <c r="O25" t="s">
        <v>91</v>
      </c>
      <c r="P25" t="s">
        <v>256</v>
      </c>
      <c r="Q25" t="s">
        <v>257</v>
      </c>
      <c r="S25">
        <v>18561</v>
      </c>
      <c r="T25">
        <v>0.94199437699999999</v>
      </c>
    </row>
    <row r="26" spans="1:20" x14ac:dyDescent="0.2">
      <c r="A26">
        <v>18562</v>
      </c>
      <c r="B26">
        <v>1298.8</v>
      </c>
      <c r="C26">
        <v>-19.416679999999999</v>
      </c>
      <c r="D26">
        <v>114.31898</v>
      </c>
      <c r="E26" t="s">
        <v>25</v>
      </c>
      <c r="F26" s="28" t="s">
        <v>92</v>
      </c>
      <c r="G26" s="26" t="s">
        <v>309</v>
      </c>
      <c r="H26">
        <v>0.96355669655352127</v>
      </c>
      <c r="I26">
        <v>24.768333453950898</v>
      </c>
      <c r="J26">
        <v>28.762638915540901</v>
      </c>
      <c r="K26">
        <v>35.004353222423198</v>
      </c>
      <c r="M26" t="s">
        <v>93</v>
      </c>
      <c r="N26" t="s">
        <v>94</v>
      </c>
      <c r="O26" t="s">
        <v>95</v>
      </c>
      <c r="P26" t="s">
        <v>258</v>
      </c>
      <c r="Q26" t="s">
        <v>259</v>
      </c>
      <c r="S26">
        <v>18562</v>
      </c>
      <c r="T26">
        <v>0.97445436100000005</v>
      </c>
    </row>
    <row r="27" spans="1:20" x14ac:dyDescent="0.2">
      <c r="E27" t="s">
        <v>30</v>
      </c>
      <c r="F27" s="29" t="s">
        <v>96</v>
      </c>
      <c r="H27">
        <v>0.96840628018822561</v>
      </c>
      <c r="I27">
        <v>24.893483767554098</v>
      </c>
      <c r="J27">
        <v>28.959992868874998</v>
      </c>
      <c r="K27">
        <v>35.098124114467097</v>
      </c>
    </row>
    <row r="28" spans="1:20" x14ac:dyDescent="0.2">
      <c r="A28">
        <v>18564</v>
      </c>
      <c r="B28">
        <v>349.7</v>
      </c>
      <c r="C28">
        <v>-20.500679999999999</v>
      </c>
      <c r="D28">
        <v>114.78462</v>
      </c>
      <c r="E28" s="3" t="s">
        <v>25</v>
      </c>
      <c r="F28" s="29" t="s">
        <v>97</v>
      </c>
      <c r="H28">
        <v>0.97247816201986359</v>
      </c>
      <c r="I28">
        <v>25.007195053444502</v>
      </c>
      <c r="J28">
        <v>29.208447496996602</v>
      </c>
      <c r="K28">
        <v>35.418965939661398</v>
      </c>
      <c r="M28" t="s">
        <v>98</v>
      </c>
      <c r="N28" t="s">
        <v>99</v>
      </c>
      <c r="O28" t="s">
        <v>100</v>
      </c>
      <c r="P28" t="s">
        <v>260</v>
      </c>
      <c r="Q28" t="s">
        <v>261</v>
      </c>
    </row>
    <row r="29" spans="1:20" x14ac:dyDescent="0.2">
      <c r="A29">
        <v>18565</v>
      </c>
      <c r="B29">
        <v>1253.9000000000001</v>
      </c>
      <c r="C29">
        <v>-20.013950000000001</v>
      </c>
      <c r="D29">
        <v>114.23909999999999</v>
      </c>
      <c r="E29" s="3" t="s">
        <v>25</v>
      </c>
      <c r="F29" s="29" t="s">
        <v>101</v>
      </c>
      <c r="H29">
        <v>0.94431127323258646</v>
      </c>
      <c r="I29">
        <v>24.118429517343198</v>
      </c>
      <c r="J29">
        <v>27.826848159756199</v>
      </c>
      <c r="K29">
        <v>33.807703457941699</v>
      </c>
      <c r="M29" t="s">
        <v>102</v>
      </c>
      <c r="N29" t="s">
        <v>103</v>
      </c>
      <c r="O29" t="s">
        <v>104</v>
      </c>
      <c r="P29" t="s">
        <v>262</v>
      </c>
      <c r="Q29" t="s">
        <v>263</v>
      </c>
    </row>
    <row r="30" spans="1:20" x14ac:dyDescent="0.2">
      <c r="A30">
        <v>18566</v>
      </c>
      <c r="B30">
        <v>1133.5</v>
      </c>
      <c r="C30">
        <v>-19.645119999999999</v>
      </c>
      <c r="D30">
        <v>113.81055000000001</v>
      </c>
      <c r="E30" s="3" t="s">
        <v>105</v>
      </c>
      <c r="F30" s="29" t="s">
        <v>106</v>
      </c>
      <c r="H30">
        <v>0.95416895857476247</v>
      </c>
      <c r="I30">
        <v>24.436255911115399</v>
      </c>
      <c r="J30">
        <v>28.305739109107002</v>
      </c>
      <c r="K30">
        <v>34.430480355392298</v>
      </c>
      <c r="M30" t="s">
        <v>107</v>
      </c>
      <c r="N30" t="s">
        <v>108</v>
      </c>
      <c r="O30" t="s">
        <v>109</v>
      </c>
      <c r="P30" t="s">
        <v>264</v>
      </c>
      <c r="Q30" t="s">
        <v>265</v>
      </c>
      <c r="S30">
        <v>18566</v>
      </c>
      <c r="T30">
        <v>0.92368258199999997</v>
      </c>
    </row>
    <row r="31" spans="1:20" x14ac:dyDescent="0.2">
      <c r="A31">
        <v>18567</v>
      </c>
      <c r="B31">
        <v>1131</v>
      </c>
      <c r="C31">
        <v>-19.520579999999999</v>
      </c>
      <c r="D31">
        <v>113.05877</v>
      </c>
      <c r="E31" s="3" t="s">
        <v>25</v>
      </c>
      <c r="F31" s="29" t="s">
        <v>110</v>
      </c>
      <c r="H31">
        <v>0.92885450855952167</v>
      </c>
      <c r="I31">
        <v>23.5503364635609</v>
      </c>
      <c r="J31">
        <v>27.0743680615149</v>
      </c>
      <c r="K31">
        <v>32.9050971401021</v>
      </c>
      <c r="M31" t="s">
        <v>111</v>
      </c>
      <c r="N31" t="s">
        <v>112</v>
      </c>
      <c r="O31" t="s">
        <v>113</v>
      </c>
      <c r="P31" t="s">
        <v>266</v>
      </c>
      <c r="Q31" t="s">
        <v>267</v>
      </c>
    </row>
    <row r="32" spans="1:20" x14ac:dyDescent="0.2">
      <c r="A32">
        <v>18568</v>
      </c>
      <c r="B32">
        <v>1100</v>
      </c>
      <c r="C32">
        <v>-20.610029999999998</v>
      </c>
      <c r="D32">
        <v>113.62438</v>
      </c>
      <c r="E32" s="3" t="s">
        <v>25</v>
      </c>
      <c r="F32" s="29" t="s">
        <v>114</v>
      </c>
      <c r="H32">
        <v>0.95261489639862784</v>
      </c>
      <c r="I32">
        <v>24.338743167535998</v>
      </c>
      <c r="J32">
        <v>28.283778882002601</v>
      </c>
      <c r="K32">
        <v>34.442524391043698</v>
      </c>
      <c r="M32" t="s">
        <v>115</v>
      </c>
      <c r="N32" t="s">
        <v>116</v>
      </c>
      <c r="O32" t="s">
        <v>117</v>
      </c>
      <c r="P32" t="s">
        <v>268</v>
      </c>
      <c r="Q32" t="s">
        <v>269</v>
      </c>
      <c r="S32">
        <v>18568</v>
      </c>
      <c r="T32">
        <v>0.94894180800000005</v>
      </c>
    </row>
    <row r="33" spans="1:20" x14ac:dyDescent="0.2">
      <c r="A33">
        <v>18570</v>
      </c>
      <c r="B33">
        <v>1182.4000000000001</v>
      </c>
      <c r="C33">
        <v>-20.991119999999999</v>
      </c>
      <c r="D33">
        <v>113.44884999999999</v>
      </c>
      <c r="E33" s="3" t="s">
        <v>25</v>
      </c>
      <c r="F33" s="29" t="s">
        <v>118</v>
      </c>
      <c r="H33">
        <v>0.94132607048807759</v>
      </c>
      <c r="I33">
        <v>23.961252814224</v>
      </c>
      <c r="J33">
        <v>27.648499541882099</v>
      </c>
      <c r="K33">
        <v>33.6890841708015</v>
      </c>
      <c r="M33" t="s">
        <v>119</v>
      </c>
      <c r="N33" t="s">
        <v>120</v>
      </c>
      <c r="O33" t="s">
        <v>121</v>
      </c>
      <c r="P33" t="s">
        <v>270</v>
      </c>
      <c r="Q33" t="s">
        <v>271</v>
      </c>
      <c r="S33">
        <v>18570</v>
      </c>
      <c r="T33">
        <v>0.97242392600000005</v>
      </c>
    </row>
    <row r="34" spans="1:20" x14ac:dyDescent="0.2">
      <c r="A34">
        <v>18571</v>
      </c>
      <c r="B34">
        <v>1049.3</v>
      </c>
      <c r="C34">
        <v>-22.111419999999999</v>
      </c>
      <c r="D34">
        <v>113.49442000000001</v>
      </c>
      <c r="E34" s="3" t="s">
        <v>25</v>
      </c>
      <c r="F34" s="29" t="s">
        <v>122</v>
      </c>
      <c r="H34">
        <v>0.94665252610618122</v>
      </c>
      <c r="I34">
        <v>24.196448265192799</v>
      </c>
      <c r="J34">
        <v>27.9711115979262</v>
      </c>
      <c r="K34">
        <v>34.076782601821897</v>
      </c>
      <c r="M34" t="s">
        <v>123</v>
      </c>
      <c r="N34" t="s">
        <v>124</v>
      </c>
      <c r="O34" t="s">
        <v>125</v>
      </c>
      <c r="P34" t="s">
        <v>272</v>
      </c>
      <c r="Q34" t="s">
        <v>273</v>
      </c>
      <c r="S34">
        <v>18571</v>
      </c>
      <c r="T34">
        <v>0.95716227799999998</v>
      </c>
    </row>
    <row r="35" spans="1:20" x14ac:dyDescent="0.2">
      <c r="A35">
        <v>18572</v>
      </c>
      <c r="B35">
        <v>1327.9</v>
      </c>
      <c r="C35">
        <v>-22.07827</v>
      </c>
      <c r="D35">
        <v>113.22843</v>
      </c>
      <c r="E35" s="3" t="s">
        <v>25</v>
      </c>
      <c r="F35" s="29" t="s">
        <v>126</v>
      </c>
      <c r="H35">
        <v>0.9284684367856515</v>
      </c>
      <c r="I35">
        <v>23.5401790059442</v>
      </c>
      <c r="J35">
        <v>27.0693771985399</v>
      </c>
      <c r="K35">
        <v>32.8729043499984</v>
      </c>
      <c r="M35" t="s">
        <v>127</v>
      </c>
      <c r="N35" t="s">
        <v>128</v>
      </c>
      <c r="O35" t="s">
        <v>129</v>
      </c>
      <c r="P35" t="s">
        <v>274</v>
      </c>
      <c r="Q35" t="s">
        <v>275</v>
      </c>
    </row>
    <row r="36" spans="1:20" x14ac:dyDescent="0.2">
      <c r="A36">
        <v>18573</v>
      </c>
      <c r="B36">
        <v>1250.5</v>
      </c>
      <c r="C36">
        <v>-22.620719999999999</v>
      </c>
      <c r="D36">
        <v>112.83682</v>
      </c>
      <c r="E36" s="3" t="s">
        <v>25</v>
      </c>
      <c r="F36" s="29" t="s">
        <v>130</v>
      </c>
      <c r="H36">
        <v>0.91114392960433199</v>
      </c>
      <c r="I36">
        <v>22.971078511790498</v>
      </c>
      <c r="J36">
        <v>26.254882370124001</v>
      </c>
      <c r="K36">
        <v>31.808487070786502</v>
      </c>
      <c r="M36" t="s">
        <v>131</v>
      </c>
      <c r="N36" t="s">
        <v>132</v>
      </c>
      <c r="O36" t="s">
        <v>133</v>
      </c>
      <c r="P36" t="s">
        <v>276</v>
      </c>
      <c r="Q36" t="s">
        <v>277</v>
      </c>
      <c r="S36">
        <v>18573</v>
      </c>
      <c r="T36">
        <v>0.95090576299999996</v>
      </c>
    </row>
    <row r="37" spans="1:20" x14ac:dyDescent="0.2">
      <c r="A37">
        <v>18574</v>
      </c>
      <c r="B37">
        <v>504.5</v>
      </c>
      <c r="C37">
        <v>-24.231549999999999</v>
      </c>
      <c r="D37">
        <v>112.36862000000001</v>
      </c>
      <c r="E37" s="3" t="s">
        <v>25</v>
      </c>
      <c r="F37" s="29" t="s">
        <v>134</v>
      </c>
      <c r="H37">
        <v>0.90512744584405824</v>
      </c>
      <c r="I37">
        <v>22.778132474284298</v>
      </c>
      <c r="J37">
        <v>26.007701095117699</v>
      </c>
      <c r="K37">
        <v>31.419850583813702</v>
      </c>
      <c r="M37" t="s">
        <v>135</v>
      </c>
      <c r="N37" t="s">
        <v>136</v>
      </c>
      <c r="O37" t="s">
        <v>137</v>
      </c>
      <c r="P37" t="s">
        <v>278</v>
      </c>
      <c r="Q37" t="s">
        <v>279</v>
      </c>
    </row>
    <row r="38" spans="1:20" x14ac:dyDescent="0.2">
      <c r="A38">
        <v>18575</v>
      </c>
      <c r="B38">
        <v>1032</v>
      </c>
      <c r="C38">
        <v>-24.231529999999999</v>
      </c>
      <c r="D38">
        <v>111.85302</v>
      </c>
      <c r="E38" s="3" t="s">
        <v>25</v>
      </c>
      <c r="F38" s="29" t="s">
        <v>138</v>
      </c>
      <c r="H38">
        <v>0.88321342472823861</v>
      </c>
      <c r="I38">
        <v>22.027688102920798</v>
      </c>
      <c r="J38">
        <v>25.076201105501401</v>
      </c>
      <c r="K38">
        <v>29.8676098674249</v>
      </c>
      <c r="M38" t="s">
        <v>139</v>
      </c>
      <c r="N38" t="s">
        <v>140</v>
      </c>
      <c r="O38" t="s">
        <v>141</v>
      </c>
      <c r="P38" t="s">
        <v>280</v>
      </c>
      <c r="Q38" t="s">
        <v>281</v>
      </c>
    </row>
    <row r="39" spans="1:20" x14ac:dyDescent="0.2">
      <c r="A39">
        <v>18576</v>
      </c>
      <c r="B39">
        <v>1725.9</v>
      </c>
      <c r="C39">
        <v>-24.139849999999999</v>
      </c>
      <c r="D39">
        <v>111.34083</v>
      </c>
      <c r="E39" s="3" t="s">
        <v>25</v>
      </c>
      <c r="F39" s="29" t="s">
        <v>142</v>
      </c>
      <c r="H39">
        <v>0.89101924643304931</v>
      </c>
      <c r="I39">
        <v>22.307652442094302</v>
      </c>
      <c r="J39">
        <v>25.390004332590401</v>
      </c>
      <c r="K39">
        <v>30.4757700269964</v>
      </c>
      <c r="M39" t="s">
        <v>143</v>
      </c>
      <c r="N39" t="s">
        <v>144</v>
      </c>
      <c r="O39" t="s">
        <v>145</v>
      </c>
      <c r="P39" t="s">
        <v>282</v>
      </c>
      <c r="Q39" t="s">
        <v>283</v>
      </c>
    </row>
    <row r="40" spans="1:20" x14ac:dyDescent="0.2">
      <c r="A40">
        <v>18578</v>
      </c>
      <c r="B40">
        <v>1678.9</v>
      </c>
      <c r="C40">
        <v>-25.37097</v>
      </c>
      <c r="D40">
        <v>111.09522</v>
      </c>
      <c r="E40" s="3" t="s">
        <v>25</v>
      </c>
      <c r="F40" s="29" t="s">
        <v>146</v>
      </c>
      <c r="H40">
        <v>0.86228720728323138</v>
      </c>
      <c r="I40">
        <v>21.307718058370501</v>
      </c>
      <c r="J40">
        <v>24.256689060837999</v>
      </c>
      <c r="K40">
        <v>28.421848667740498</v>
      </c>
      <c r="M40" t="s">
        <v>147</v>
      </c>
      <c r="N40" t="s">
        <v>148</v>
      </c>
      <c r="O40" t="s">
        <v>149</v>
      </c>
      <c r="P40" t="s">
        <v>284</v>
      </c>
      <c r="Q40" t="s">
        <v>285</v>
      </c>
    </row>
    <row r="41" spans="1:20" x14ac:dyDescent="0.2">
      <c r="A41">
        <v>18579</v>
      </c>
      <c r="B41">
        <v>715.1</v>
      </c>
      <c r="C41">
        <v>-25.10155</v>
      </c>
      <c r="D41">
        <v>111.84885</v>
      </c>
      <c r="E41" s="3" t="s">
        <v>25</v>
      </c>
      <c r="F41" s="29" t="s">
        <v>150</v>
      </c>
      <c r="H41">
        <v>0.87820685930326758</v>
      </c>
      <c r="I41">
        <v>21.883739143086999</v>
      </c>
      <c r="J41">
        <v>24.876310785230999</v>
      </c>
      <c r="K41">
        <v>29.542719021335198</v>
      </c>
      <c r="M41" t="s">
        <v>151</v>
      </c>
      <c r="N41" t="s">
        <v>152</v>
      </c>
      <c r="O41" t="s">
        <v>153</v>
      </c>
      <c r="P41" t="s">
        <v>286</v>
      </c>
      <c r="Q41" t="s">
        <v>287</v>
      </c>
    </row>
    <row r="42" spans="1:20" x14ac:dyDescent="0.2">
      <c r="A42">
        <v>18580</v>
      </c>
      <c r="B42">
        <v>1369.1</v>
      </c>
      <c r="C42">
        <v>-24.568930000000002</v>
      </c>
      <c r="D42">
        <v>111.24592</v>
      </c>
      <c r="E42" s="3" t="s">
        <v>25</v>
      </c>
      <c r="F42" s="29" t="s">
        <v>154</v>
      </c>
      <c r="H42">
        <v>0.87588740820296618</v>
      </c>
      <c r="I42">
        <v>21.821111163608599</v>
      </c>
      <c r="J42">
        <v>24.832114704276002</v>
      </c>
      <c r="K42">
        <v>29.448422497271</v>
      </c>
      <c r="M42" t="s">
        <v>155</v>
      </c>
      <c r="N42" t="s">
        <v>156</v>
      </c>
      <c r="O42" t="s">
        <v>157</v>
      </c>
      <c r="P42" t="s">
        <v>288</v>
      </c>
      <c r="Q42" t="s">
        <v>289</v>
      </c>
    </row>
    <row r="43" spans="1:20" x14ac:dyDescent="0.2">
      <c r="A43">
        <v>18582</v>
      </c>
      <c r="B43">
        <v>1571.5</v>
      </c>
      <c r="C43">
        <v>-25.898330000000001</v>
      </c>
      <c r="D43">
        <v>111.37203</v>
      </c>
      <c r="E43" s="3" t="s">
        <v>25</v>
      </c>
      <c r="F43" s="29" t="s">
        <v>158</v>
      </c>
      <c r="H43">
        <v>0.85894086915222034</v>
      </c>
      <c r="I43">
        <v>21.2681311587042</v>
      </c>
      <c r="J43">
        <v>24.1760244052271</v>
      </c>
      <c r="K43">
        <v>28.151044758062302</v>
      </c>
      <c r="M43" t="s">
        <v>159</v>
      </c>
      <c r="N43" t="s">
        <v>160</v>
      </c>
      <c r="O43" t="s">
        <v>161</v>
      </c>
      <c r="P43" t="s">
        <v>290</v>
      </c>
      <c r="Q43" t="s">
        <v>291</v>
      </c>
      <c r="S43">
        <v>18582</v>
      </c>
      <c r="T43">
        <v>0.88755531600000004</v>
      </c>
    </row>
    <row r="44" spans="1:20" x14ac:dyDescent="0.2">
      <c r="A44">
        <v>18584</v>
      </c>
      <c r="B44">
        <v>1121.0999999999999</v>
      </c>
      <c r="C44">
        <v>-27.769770000000001</v>
      </c>
      <c r="D44">
        <v>112.42052</v>
      </c>
      <c r="E44" s="3" t="s">
        <v>25</v>
      </c>
      <c r="F44" s="29" t="s">
        <v>162</v>
      </c>
      <c r="H44">
        <v>0.85684770845523317</v>
      </c>
      <c r="I44">
        <v>21.188499231068299</v>
      </c>
      <c r="J44">
        <v>24.092489536094199</v>
      </c>
      <c r="K44">
        <v>28.066728688433301</v>
      </c>
      <c r="M44" t="s">
        <v>163</v>
      </c>
      <c r="N44" t="s">
        <v>164</v>
      </c>
      <c r="O44" t="s">
        <v>165</v>
      </c>
      <c r="P44" t="s">
        <v>292</v>
      </c>
      <c r="Q44" t="s">
        <v>293</v>
      </c>
    </row>
    <row r="45" spans="1:20" x14ac:dyDescent="0.2">
      <c r="A45">
        <v>18585</v>
      </c>
      <c r="B45">
        <v>1182.7</v>
      </c>
      <c r="C45">
        <v>-27.255420000000001</v>
      </c>
      <c r="D45">
        <v>112.03628</v>
      </c>
      <c r="E45" s="3" t="s">
        <v>25</v>
      </c>
      <c r="F45" s="29" t="s">
        <v>166</v>
      </c>
      <c r="H45">
        <v>0.85702906288781788</v>
      </c>
      <c r="I45">
        <v>21.1716414774646</v>
      </c>
      <c r="J45">
        <v>24.0729309429857</v>
      </c>
      <c r="K45">
        <v>28.1106452559263</v>
      </c>
      <c r="M45" t="s">
        <v>167</v>
      </c>
      <c r="N45" t="s">
        <v>168</v>
      </c>
      <c r="O45" t="s">
        <v>169</v>
      </c>
      <c r="P45" t="s">
        <v>294</v>
      </c>
      <c r="Q45" t="s">
        <v>295</v>
      </c>
      <c r="S45">
        <v>18585</v>
      </c>
      <c r="T45">
        <v>0.84691851399999996</v>
      </c>
    </row>
    <row r="46" spans="1:20" x14ac:dyDescent="0.2">
      <c r="A46">
        <v>18586</v>
      </c>
      <c r="B46">
        <v>1014.6</v>
      </c>
      <c r="C46">
        <v>-28.1418</v>
      </c>
      <c r="D46">
        <v>112.63387</v>
      </c>
      <c r="E46" s="3" t="s">
        <v>25</v>
      </c>
      <c r="F46" s="29" t="s">
        <v>170</v>
      </c>
      <c r="H46">
        <v>0.8657665996403987</v>
      </c>
      <c r="I46">
        <v>21.467523024137598</v>
      </c>
      <c r="J46">
        <v>24.4144739933853</v>
      </c>
      <c r="K46">
        <v>28.692100372072701</v>
      </c>
      <c r="M46" t="s">
        <v>171</v>
      </c>
      <c r="N46" t="s">
        <v>172</v>
      </c>
      <c r="O46" t="s">
        <v>173</v>
      </c>
      <c r="P46" t="s">
        <v>296</v>
      </c>
      <c r="Q46" t="s">
        <v>297</v>
      </c>
    </row>
    <row r="47" spans="1:20" x14ac:dyDescent="0.2">
      <c r="A47">
        <v>18587</v>
      </c>
      <c r="B47">
        <v>797.8</v>
      </c>
      <c r="C47">
        <v>-28.12893</v>
      </c>
      <c r="D47">
        <v>112.93697</v>
      </c>
      <c r="E47" s="3" t="s">
        <v>25</v>
      </c>
      <c r="F47" s="29" t="s">
        <v>174</v>
      </c>
      <c r="H47">
        <v>0.86381784760300251</v>
      </c>
      <c r="I47">
        <v>21.401282505650201</v>
      </c>
      <c r="J47">
        <v>24.361543026747899</v>
      </c>
      <c r="K47">
        <v>28.6615495134795</v>
      </c>
      <c r="M47" t="s">
        <v>175</v>
      </c>
      <c r="N47" t="s">
        <v>176</v>
      </c>
      <c r="O47" t="s">
        <v>177</v>
      </c>
      <c r="P47" t="s">
        <v>298</v>
      </c>
      <c r="Q47" t="s">
        <v>299</v>
      </c>
    </row>
    <row r="48" spans="1:20" x14ac:dyDescent="0.2">
      <c r="A48">
        <v>18588</v>
      </c>
      <c r="B48">
        <v>810.2</v>
      </c>
      <c r="C48">
        <v>-28.384730000000001</v>
      </c>
      <c r="D48">
        <v>113.01653</v>
      </c>
      <c r="E48" s="3" t="s">
        <v>25</v>
      </c>
      <c r="F48" s="29" t="s">
        <v>178</v>
      </c>
      <c r="H48">
        <v>0.9080860582933088</v>
      </c>
      <c r="I48">
        <v>22.8493096998887</v>
      </c>
      <c r="J48">
        <v>26.1546381888772</v>
      </c>
      <c r="K48">
        <v>31.577216906670898</v>
      </c>
      <c r="M48" t="s">
        <v>179</v>
      </c>
      <c r="N48" t="s">
        <v>180</v>
      </c>
      <c r="O48" t="s">
        <v>181</v>
      </c>
      <c r="P48" t="s">
        <v>300</v>
      </c>
      <c r="Q48" t="s">
        <v>301</v>
      </c>
    </row>
    <row r="49" spans="1:17" x14ac:dyDescent="0.2">
      <c r="A49">
        <v>18589</v>
      </c>
      <c r="B49">
        <v>2485.8000000000002</v>
      </c>
      <c r="C49">
        <v>-28.967880000000001</v>
      </c>
      <c r="D49">
        <v>112.87597</v>
      </c>
      <c r="E49" s="3" t="s">
        <v>25</v>
      </c>
      <c r="F49" s="29" t="s">
        <v>182</v>
      </c>
      <c r="H49">
        <v>0.87390830775324291</v>
      </c>
      <c r="I49">
        <v>21.780991044493799</v>
      </c>
      <c r="J49">
        <v>24.721548659526501</v>
      </c>
      <c r="K49">
        <v>29.220125146661399</v>
      </c>
      <c r="M49" t="s">
        <v>183</v>
      </c>
      <c r="N49" t="s">
        <v>184</v>
      </c>
      <c r="O49" t="s">
        <v>185</v>
      </c>
      <c r="P49" t="s">
        <v>302</v>
      </c>
      <c r="Q49" t="s">
        <v>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58E9-589F-BE47-9B5C-022B1DAD39AF}">
  <dimension ref="A1:S84"/>
  <sheetViews>
    <sheetView topLeftCell="C1" zoomScale="75" workbookViewId="0">
      <selection activeCell="X26" sqref="X26"/>
    </sheetView>
  </sheetViews>
  <sheetFormatPr baseColWidth="10" defaultColWidth="11.5" defaultRowHeight="16" x14ac:dyDescent="0.2"/>
  <cols>
    <col min="6" max="11" width="11.5" style="1"/>
  </cols>
  <sheetData>
    <row r="1" spans="1:19" x14ac:dyDescent="0.2">
      <c r="A1" t="s">
        <v>305</v>
      </c>
    </row>
    <row r="2" spans="1:19" ht="17" thickBot="1" x14ac:dyDescent="0.25"/>
    <row r="3" spans="1:19" s="19" customFormat="1" x14ac:dyDescent="0.2">
      <c r="A3" s="6" t="s">
        <v>0</v>
      </c>
      <c r="B3" s="7" t="s">
        <v>1</v>
      </c>
      <c r="C3" s="7" t="s">
        <v>2</v>
      </c>
      <c r="D3" s="7" t="s">
        <v>3</v>
      </c>
      <c r="E3" s="8" t="s">
        <v>4</v>
      </c>
      <c r="F3" s="9" t="s">
        <v>14</v>
      </c>
      <c r="G3" s="10" t="s">
        <v>15</v>
      </c>
      <c r="H3" s="11" t="s">
        <v>11</v>
      </c>
      <c r="I3" s="11" t="s">
        <v>12</v>
      </c>
      <c r="J3" s="11" t="s">
        <v>13</v>
      </c>
      <c r="K3" s="9"/>
      <c r="L3" s="12" t="s">
        <v>16</v>
      </c>
      <c r="M3" s="12" t="s">
        <v>17</v>
      </c>
      <c r="N3" s="12" t="s">
        <v>18</v>
      </c>
      <c r="O3" s="12" t="s">
        <v>228</v>
      </c>
      <c r="P3" s="21" t="s">
        <v>229</v>
      </c>
    </row>
    <row r="4" spans="1:19" ht="17" thickBot="1" x14ac:dyDescent="0.25">
      <c r="A4" s="13"/>
      <c r="B4" s="14"/>
      <c r="C4" s="14"/>
      <c r="D4" s="14"/>
      <c r="E4" s="14"/>
      <c r="F4" s="15"/>
      <c r="G4" s="15"/>
      <c r="H4" s="14" t="s">
        <v>22</v>
      </c>
      <c r="I4" s="14" t="s">
        <v>22</v>
      </c>
      <c r="J4" s="14" t="s">
        <v>22</v>
      </c>
      <c r="K4" s="15"/>
      <c r="L4" s="16" t="s">
        <v>227</v>
      </c>
      <c r="M4" s="16" t="s">
        <v>227</v>
      </c>
      <c r="N4" s="16" t="s">
        <v>227</v>
      </c>
      <c r="O4" s="16" t="s">
        <v>227</v>
      </c>
      <c r="P4" s="22" t="s">
        <v>227</v>
      </c>
      <c r="R4" s="20"/>
      <c r="S4" s="20"/>
    </row>
    <row r="5" spans="1:19" x14ac:dyDescent="0.2">
      <c r="A5">
        <v>18547</v>
      </c>
      <c r="B5">
        <v>1460.5</v>
      </c>
      <c r="C5">
        <v>-15.055149999999999</v>
      </c>
      <c r="D5">
        <v>120.4362</v>
      </c>
      <c r="E5" t="s">
        <v>304</v>
      </c>
      <c r="F5" s="1" t="s">
        <v>26</v>
      </c>
      <c r="G5" s="1">
        <v>0.98130548398309303</v>
      </c>
      <c r="H5" s="1">
        <v>25.338902490061951</v>
      </c>
      <c r="I5" s="1">
        <v>29.636598176768103</v>
      </c>
      <c r="J5" s="1">
        <v>35.9911012069674</v>
      </c>
      <c r="L5">
        <v>28.225881999999999</v>
      </c>
      <c r="M5">
        <v>29.243704000000001</v>
      </c>
      <c r="N5">
        <v>28.806533999999999</v>
      </c>
      <c r="O5">
        <v>26.251556000000001</v>
      </c>
      <c r="P5">
        <v>28.601700000000001</v>
      </c>
    </row>
    <row r="6" spans="1:19" x14ac:dyDescent="0.2">
      <c r="A6">
        <v>18549</v>
      </c>
      <c r="B6">
        <v>1628.5</v>
      </c>
      <c r="C6">
        <v>-15.961550000000001</v>
      </c>
      <c r="D6">
        <v>119.50967</v>
      </c>
      <c r="E6" t="s">
        <v>304</v>
      </c>
      <c r="F6" s="1" t="s">
        <v>32</v>
      </c>
      <c r="G6" s="1">
        <v>0.9672987756757343</v>
      </c>
      <c r="H6" s="1">
        <v>24.853152690828601</v>
      </c>
      <c r="I6" s="1">
        <v>28.953866742642347</v>
      </c>
      <c r="J6" s="1">
        <v>35.19698454548805</v>
      </c>
      <c r="L6">
        <v>28.044350000000001</v>
      </c>
      <c r="M6">
        <v>29.235814999999999</v>
      </c>
      <c r="N6">
        <v>28.644003000000001</v>
      </c>
      <c r="O6">
        <v>26.014097</v>
      </c>
      <c r="P6">
        <v>28.283467999999999</v>
      </c>
    </row>
    <row r="7" spans="1:19" x14ac:dyDescent="0.2">
      <c r="A7">
        <v>18550</v>
      </c>
      <c r="B7">
        <v>1388</v>
      </c>
      <c r="C7">
        <v>-16.859529999999999</v>
      </c>
      <c r="D7">
        <v>118.75702</v>
      </c>
      <c r="E7" t="s">
        <v>304</v>
      </c>
      <c r="F7" s="1" t="s">
        <v>37</v>
      </c>
      <c r="G7" s="1">
        <v>0.97774238699577676</v>
      </c>
      <c r="H7" s="1">
        <v>25.217258527994098</v>
      </c>
      <c r="I7" s="1">
        <v>29.419726190063351</v>
      </c>
      <c r="J7" s="1">
        <v>35.731125720842002</v>
      </c>
      <c r="L7">
        <v>27.720236</v>
      </c>
      <c r="M7">
        <v>29.158068</v>
      </c>
      <c r="N7">
        <v>28.314001000000001</v>
      </c>
      <c r="O7">
        <v>25.614653000000001</v>
      </c>
      <c r="P7">
        <v>27.794236999999999</v>
      </c>
    </row>
    <row r="8" spans="1:19" x14ac:dyDescent="0.2">
      <c r="A8">
        <v>18551</v>
      </c>
      <c r="B8">
        <v>668.8</v>
      </c>
      <c r="C8">
        <v>-17.591550000000002</v>
      </c>
      <c r="D8">
        <v>118.44568</v>
      </c>
      <c r="E8" t="s">
        <v>304</v>
      </c>
      <c r="F8" s="1" t="s">
        <v>42</v>
      </c>
      <c r="G8" s="1">
        <v>0.95189976083907091</v>
      </c>
      <c r="H8" s="1">
        <v>24.315625190816597</v>
      </c>
      <c r="I8" s="1">
        <v>28.17310465972735</v>
      </c>
      <c r="J8" s="1">
        <v>34.212746624491245</v>
      </c>
      <c r="L8">
        <v>27.527097999999999</v>
      </c>
      <c r="M8">
        <v>29.172394000000001</v>
      </c>
      <c r="N8">
        <v>28.093969999999999</v>
      </c>
      <c r="O8">
        <v>25.313734</v>
      </c>
      <c r="P8">
        <v>27.528267</v>
      </c>
    </row>
    <row r="9" spans="1:19" x14ac:dyDescent="0.2">
      <c r="A9">
        <v>18552</v>
      </c>
      <c r="B9">
        <v>1951.3</v>
      </c>
      <c r="C9">
        <v>-17.67595</v>
      </c>
      <c r="D9">
        <v>117.69401999999999</v>
      </c>
      <c r="E9" t="s">
        <v>304</v>
      </c>
      <c r="F9" s="1" t="s">
        <v>47</v>
      </c>
      <c r="G9" s="1">
        <v>0.97502653640930337</v>
      </c>
      <c r="H9" s="1">
        <v>25.137705628134903</v>
      </c>
      <c r="I9" s="1">
        <v>29.300763192230498</v>
      </c>
      <c r="J9" s="1">
        <v>35.594501175366048</v>
      </c>
      <c r="L9">
        <v>27.402266999999998</v>
      </c>
      <c r="M9">
        <v>29.017900000000001</v>
      </c>
      <c r="N9">
        <v>27.999998000000001</v>
      </c>
      <c r="O9">
        <v>25.252157</v>
      </c>
      <c r="P9">
        <v>27.338984</v>
      </c>
    </row>
    <row r="10" spans="1:19" x14ac:dyDescent="0.2">
      <c r="A10">
        <v>18553</v>
      </c>
      <c r="B10">
        <v>1619.7</v>
      </c>
      <c r="C10">
        <v>-18.116350000000001</v>
      </c>
      <c r="D10">
        <v>117.11663</v>
      </c>
      <c r="E10" t="s">
        <v>25</v>
      </c>
      <c r="F10" s="1" t="s">
        <v>52</v>
      </c>
      <c r="G10">
        <v>0.96687415934186238</v>
      </c>
      <c r="H10">
        <v>24.8541081096946</v>
      </c>
      <c r="I10">
        <v>28.918404602019098</v>
      </c>
      <c r="J10">
        <v>35.1465799247473</v>
      </c>
      <c r="L10">
        <v>27.187714</v>
      </c>
      <c r="M10">
        <v>28.847807</v>
      </c>
      <c r="N10">
        <v>27.863181999999998</v>
      </c>
      <c r="O10">
        <v>25.06765</v>
      </c>
      <c r="P10">
        <v>26.972180999999999</v>
      </c>
    </row>
    <row r="11" spans="1:19" x14ac:dyDescent="0.2">
      <c r="A11">
        <v>18554</v>
      </c>
      <c r="B11">
        <v>497.9</v>
      </c>
      <c r="C11">
        <v>-18.53323</v>
      </c>
      <c r="D11">
        <v>117.36642000000001</v>
      </c>
      <c r="E11" t="s">
        <v>304</v>
      </c>
      <c r="F11" s="1" t="s">
        <v>56</v>
      </c>
      <c r="G11" s="1">
        <v>0.96706977590620768</v>
      </c>
      <c r="H11" s="1">
        <v>24.847884877066299</v>
      </c>
      <c r="I11" s="1">
        <v>28.918359018970449</v>
      </c>
      <c r="J11" s="1">
        <v>35.153563263548506</v>
      </c>
      <c r="L11">
        <v>27.09817</v>
      </c>
      <c r="M11">
        <v>28.903597000000001</v>
      </c>
      <c r="N11">
        <v>27.718713999999999</v>
      </c>
      <c r="O11">
        <v>24.893501000000001</v>
      </c>
      <c r="P11">
        <v>26.876982000000002</v>
      </c>
    </row>
    <row r="12" spans="1:19" x14ac:dyDescent="0.2">
      <c r="A12">
        <v>18555</v>
      </c>
      <c r="B12">
        <v>1113.7</v>
      </c>
      <c r="C12">
        <v>-18.350850000000001</v>
      </c>
      <c r="D12">
        <v>117.25673</v>
      </c>
      <c r="E12" t="s">
        <v>304</v>
      </c>
      <c r="F12" s="1" t="s">
        <v>61</v>
      </c>
      <c r="G12" s="1">
        <v>0.96463811878888273</v>
      </c>
      <c r="H12" s="1">
        <v>24.7440420252031</v>
      </c>
      <c r="I12" s="1">
        <v>28.803253243363052</v>
      </c>
      <c r="J12" s="1">
        <v>35.056887344142197</v>
      </c>
      <c r="L12">
        <v>27.17896</v>
      </c>
      <c r="M12">
        <v>28.922516000000002</v>
      </c>
      <c r="N12">
        <v>27.804886</v>
      </c>
      <c r="O12">
        <v>25.011282000000001</v>
      </c>
      <c r="P12">
        <v>26.977119999999999</v>
      </c>
    </row>
    <row r="13" spans="1:19" x14ac:dyDescent="0.2">
      <c r="A13">
        <v>18556</v>
      </c>
      <c r="B13">
        <v>1843.6</v>
      </c>
      <c r="C13">
        <v>-17.1036</v>
      </c>
      <c r="D13">
        <v>117.23048</v>
      </c>
      <c r="E13" t="s">
        <v>30</v>
      </c>
      <c r="F13" s="1" t="s">
        <v>66</v>
      </c>
      <c r="G13">
        <v>0.9712976402093968</v>
      </c>
      <c r="H13">
        <v>24.9853880795478</v>
      </c>
      <c r="I13">
        <v>29.102497050760299</v>
      </c>
      <c r="J13">
        <v>35.322413638727099</v>
      </c>
      <c r="L13">
        <v>27.420598999999999</v>
      </c>
      <c r="M13">
        <v>28.8413</v>
      </c>
      <c r="N13">
        <v>28.0838</v>
      </c>
      <c r="O13">
        <v>25.374366999999999</v>
      </c>
      <c r="P13">
        <v>27.382914</v>
      </c>
    </row>
    <row r="14" spans="1:19" x14ac:dyDescent="0.2">
      <c r="A14">
        <v>18557</v>
      </c>
      <c r="B14">
        <v>2405.9</v>
      </c>
      <c r="C14">
        <v>-17.54862</v>
      </c>
      <c r="D14">
        <v>117.14593000000001</v>
      </c>
      <c r="E14" s="3" t="s">
        <v>25</v>
      </c>
      <c r="F14" s="1" t="s">
        <v>70</v>
      </c>
      <c r="G14">
        <v>0.96863983037616319</v>
      </c>
      <c r="H14">
        <v>24.871160826968101</v>
      </c>
      <c r="I14">
        <v>29.044931542377402</v>
      </c>
      <c r="J14">
        <v>35.245449644325298</v>
      </c>
      <c r="L14">
        <v>27.302599000000001</v>
      </c>
      <c r="M14">
        <v>28.853646999999999</v>
      </c>
      <c r="N14">
        <v>27.986848999999999</v>
      </c>
      <c r="O14">
        <v>25.197382000000001</v>
      </c>
      <c r="P14">
        <v>27.172533000000001</v>
      </c>
    </row>
    <row r="15" spans="1:19" x14ac:dyDescent="0.2">
      <c r="A15">
        <v>18558</v>
      </c>
      <c r="B15">
        <v>1755.4</v>
      </c>
      <c r="C15">
        <v>-18.399229999999999</v>
      </c>
      <c r="D15">
        <v>115.22788</v>
      </c>
      <c r="E15" t="s">
        <v>304</v>
      </c>
      <c r="F15" s="1" t="s">
        <v>74</v>
      </c>
      <c r="G15" s="1">
        <v>0.95992824032253266</v>
      </c>
      <c r="H15" s="1">
        <v>24.610795095562949</v>
      </c>
      <c r="I15" s="1">
        <v>28.5561415447077</v>
      </c>
      <c r="J15" s="1">
        <v>34.7846956775251</v>
      </c>
      <c r="L15">
        <v>26.916954</v>
      </c>
      <c r="M15">
        <v>28.520734999999998</v>
      </c>
      <c r="N15">
        <v>27.909162999999999</v>
      </c>
      <c r="O15">
        <v>24.89208</v>
      </c>
      <c r="P15">
        <v>26.345963000000001</v>
      </c>
    </row>
    <row r="16" spans="1:19" x14ac:dyDescent="0.2">
      <c r="A16">
        <v>18559</v>
      </c>
      <c r="B16">
        <v>1976.5</v>
      </c>
      <c r="C16">
        <v>-18.083320000000001</v>
      </c>
      <c r="D16">
        <v>115.04773</v>
      </c>
      <c r="E16" t="s">
        <v>304</v>
      </c>
      <c r="F16" s="1" t="s">
        <v>79</v>
      </c>
      <c r="G16" s="1">
        <v>0.95548987253372353</v>
      </c>
      <c r="H16" s="1">
        <v>24.458387945321601</v>
      </c>
      <c r="I16" s="1">
        <v>28.389329606868948</v>
      </c>
      <c r="J16" s="1">
        <v>34.522870082072799</v>
      </c>
      <c r="L16">
        <v>26.98049</v>
      </c>
      <c r="M16">
        <v>28.546800000000001</v>
      </c>
      <c r="N16">
        <v>27.952932000000001</v>
      </c>
      <c r="O16">
        <v>24.972878000000001</v>
      </c>
      <c r="P16">
        <v>26.449486</v>
      </c>
    </row>
    <row r="17" spans="1:16" x14ac:dyDescent="0.2">
      <c r="A17">
        <v>18560</v>
      </c>
      <c r="B17">
        <v>868.8</v>
      </c>
      <c r="C17">
        <v>-19.30397</v>
      </c>
      <c r="D17">
        <v>115.43213</v>
      </c>
      <c r="E17" s="3" t="s">
        <v>25</v>
      </c>
      <c r="F17" s="1" t="s">
        <v>84</v>
      </c>
      <c r="G17">
        <v>0.95384842696273464</v>
      </c>
      <c r="H17">
        <v>24.437553585228201</v>
      </c>
      <c r="I17">
        <v>28.2878767676915</v>
      </c>
      <c r="J17">
        <v>34.407428929348903</v>
      </c>
      <c r="L17">
        <v>26.578130000000002</v>
      </c>
      <c r="M17">
        <v>28.395085999999999</v>
      </c>
      <c r="N17">
        <v>27.593713999999999</v>
      </c>
      <c r="O17">
        <v>24.393681999999998</v>
      </c>
      <c r="P17">
        <v>25.930002000000002</v>
      </c>
    </row>
    <row r="18" spans="1:16" x14ac:dyDescent="0.2">
      <c r="A18">
        <v>18561</v>
      </c>
      <c r="B18">
        <v>1185</v>
      </c>
      <c r="C18">
        <v>-19.242529999999999</v>
      </c>
      <c r="D18">
        <v>115.39917</v>
      </c>
      <c r="E18" s="3" t="s">
        <v>25</v>
      </c>
      <c r="F18" s="1" t="s">
        <v>88</v>
      </c>
      <c r="G18">
        <v>0.96198608520506945</v>
      </c>
      <c r="H18">
        <v>24.6706726064298</v>
      </c>
      <c r="I18">
        <v>28.698605589091901</v>
      </c>
      <c r="J18">
        <v>34.817585173832498</v>
      </c>
      <c r="L18">
        <v>26.692001000000001</v>
      </c>
      <c r="M18">
        <v>28.444984000000002</v>
      </c>
      <c r="N18">
        <v>27.707519999999999</v>
      </c>
      <c r="O18">
        <v>24.545822000000001</v>
      </c>
      <c r="P18">
        <v>26.069717000000001</v>
      </c>
    </row>
    <row r="19" spans="1:16" x14ac:dyDescent="0.2">
      <c r="A19">
        <v>18562</v>
      </c>
      <c r="B19">
        <v>1298.8</v>
      </c>
      <c r="C19">
        <v>-19.416679999999999</v>
      </c>
      <c r="D19">
        <v>114.31898</v>
      </c>
      <c r="E19" t="s">
        <v>304</v>
      </c>
      <c r="F19" s="1" t="s">
        <v>92</v>
      </c>
      <c r="G19" s="1">
        <v>0.9659814883708735</v>
      </c>
      <c r="H19" s="1">
        <v>24.830908610752498</v>
      </c>
      <c r="I19" s="1">
        <v>28.861315892207948</v>
      </c>
      <c r="J19" s="1">
        <v>35.051238668445151</v>
      </c>
      <c r="L19">
        <v>26.442345</v>
      </c>
      <c r="M19">
        <v>28.201332000000001</v>
      </c>
      <c r="N19">
        <v>27.462364000000001</v>
      </c>
      <c r="O19">
        <v>24.423065000000001</v>
      </c>
      <c r="P19">
        <v>25.682580000000002</v>
      </c>
    </row>
    <row r="20" spans="1:16" x14ac:dyDescent="0.2">
      <c r="A20">
        <v>18564</v>
      </c>
      <c r="B20">
        <v>349.7</v>
      </c>
      <c r="C20">
        <v>-20.500679999999999</v>
      </c>
      <c r="D20">
        <v>114.78462</v>
      </c>
      <c r="E20" s="3" t="s">
        <v>25</v>
      </c>
      <c r="F20" s="1" t="s">
        <v>97</v>
      </c>
      <c r="G20">
        <v>0.97247816201986359</v>
      </c>
      <c r="H20">
        <v>25.007195053444502</v>
      </c>
      <c r="I20">
        <v>29.208447496996602</v>
      </c>
      <c r="J20">
        <v>35.418965939661398</v>
      </c>
      <c r="L20">
        <v>26.027930999999999</v>
      </c>
      <c r="M20">
        <v>28.065935</v>
      </c>
      <c r="N20">
        <v>26.954000000000001</v>
      </c>
      <c r="O20">
        <v>23.927050000000001</v>
      </c>
      <c r="P20">
        <v>25.164736000000001</v>
      </c>
    </row>
    <row r="21" spans="1:16" x14ac:dyDescent="0.2">
      <c r="A21">
        <v>18565</v>
      </c>
      <c r="B21">
        <v>1253.9000000000001</v>
      </c>
      <c r="C21">
        <v>-20.013950000000001</v>
      </c>
      <c r="D21">
        <v>114.23909999999999</v>
      </c>
      <c r="E21" s="3" t="s">
        <v>25</v>
      </c>
      <c r="F21" s="1" t="s">
        <v>101</v>
      </c>
      <c r="G21">
        <v>0.94431127323258646</v>
      </c>
      <c r="H21">
        <v>24.118429517343198</v>
      </c>
      <c r="I21">
        <v>27.826848159756199</v>
      </c>
      <c r="J21">
        <v>33.807703457941699</v>
      </c>
      <c r="L21">
        <v>26.138013999999998</v>
      </c>
      <c r="M21">
        <v>28.027315000000002</v>
      </c>
      <c r="N21">
        <v>27.246948</v>
      </c>
      <c r="O21">
        <v>24.057466999999999</v>
      </c>
      <c r="P21">
        <v>25.220307999999999</v>
      </c>
    </row>
    <row r="22" spans="1:16" x14ac:dyDescent="0.2">
      <c r="A22">
        <v>18566</v>
      </c>
      <c r="B22">
        <v>1133.5</v>
      </c>
      <c r="C22">
        <v>-19.645119999999999</v>
      </c>
      <c r="D22">
        <v>113.81055000000001</v>
      </c>
      <c r="E22" s="3" t="s">
        <v>105</v>
      </c>
      <c r="F22" s="1" t="s">
        <v>106</v>
      </c>
      <c r="G22">
        <v>0.95416895857476247</v>
      </c>
      <c r="H22">
        <v>24.436255911115399</v>
      </c>
      <c r="I22">
        <v>28.305739109107002</v>
      </c>
      <c r="J22">
        <v>34.430480355392298</v>
      </c>
      <c r="L22">
        <v>26.270775</v>
      </c>
      <c r="M22">
        <v>28.096547999999999</v>
      </c>
      <c r="N22">
        <v>27.258880000000001</v>
      </c>
      <c r="O22">
        <v>24.272321999999999</v>
      </c>
      <c r="P22">
        <v>25.455400000000001</v>
      </c>
    </row>
    <row r="23" spans="1:16" x14ac:dyDescent="0.2">
      <c r="A23">
        <v>18567</v>
      </c>
      <c r="B23">
        <v>1131</v>
      </c>
      <c r="C23">
        <v>-19.520579999999999</v>
      </c>
      <c r="D23">
        <v>113.05877</v>
      </c>
      <c r="E23" s="3" t="s">
        <v>25</v>
      </c>
      <c r="F23" s="1" t="s">
        <v>110</v>
      </c>
      <c r="G23">
        <v>0.92885450855952167</v>
      </c>
      <c r="H23">
        <v>23.5503364635609</v>
      </c>
      <c r="I23">
        <v>27.0743680615149</v>
      </c>
      <c r="J23">
        <v>32.9050971401021</v>
      </c>
      <c r="L23">
        <v>26.157063999999998</v>
      </c>
      <c r="M23">
        <v>27.999480999999999</v>
      </c>
      <c r="N23">
        <v>27.134108000000001</v>
      </c>
      <c r="O23">
        <v>24.098333</v>
      </c>
      <c r="P23">
        <v>25.396286</v>
      </c>
    </row>
    <row r="24" spans="1:16" x14ac:dyDescent="0.2">
      <c r="A24">
        <v>18568</v>
      </c>
      <c r="B24">
        <v>1100</v>
      </c>
      <c r="C24">
        <v>-20.610029999999998</v>
      </c>
      <c r="D24">
        <v>113.62438</v>
      </c>
      <c r="E24" s="3" t="s">
        <v>25</v>
      </c>
      <c r="F24" s="1" t="s">
        <v>114</v>
      </c>
      <c r="G24">
        <v>0.95261489639862784</v>
      </c>
      <c r="H24">
        <v>24.338743167535998</v>
      </c>
      <c r="I24">
        <v>28.283778882002601</v>
      </c>
      <c r="J24">
        <v>34.442524391043698</v>
      </c>
      <c r="L24">
        <v>25.898916</v>
      </c>
      <c r="M24">
        <v>27.819566999999999</v>
      </c>
      <c r="N24">
        <v>26.961151000000001</v>
      </c>
      <c r="O24">
        <v>23.873000999999999</v>
      </c>
      <c r="P24">
        <v>24.941932999999999</v>
      </c>
    </row>
    <row r="25" spans="1:16" x14ac:dyDescent="0.2">
      <c r="A25">
        <v>18570</v>
      </c>
      <c r="B25">
        <v>1182.4000000000001</v>
      </c>
      <c r="C25">
        <v>-20.991119999999999</v>
      </c>
      <c r="D25">
        <v>113.44884999999999</v>
      </c>
      <c r="E25" s="3" t="s">
        <v>25</v>
      </c>
      <c r="F25" s="1" t="s">
        <v>118</v>
      </c>
      <c r="G25">
        <v>0.94132607048807759</v>
      </c>
      <c r="H25">
        <v>23.961252814224</v>
      </c>
      <c r="I25">
        <v>27.648499541882099</v>
      </c>
      <c r="J25">
        <v>33.6890841708015</v>
      </c>
      <c r="L25">
        <v>25.790619</v>
      </c>
      <c r="M25">
        <v>27.654160999999998</v>
      </c>
      <c r="N25">
        <v>26.889016999999999</v>
      </c>
      <c r="O25">
        <v>23.804971999999999</v>
      </c>
      <c r="P25">
        <v>24.814330999999999</v>
      </c>
    </row>
    <row r="26" spans="1:16" x14ac:dyDescent="0.2">
      <c r="A26">
        <v>18571</v>
      </c>
      <c r="B26">
        <v>1049.3</v>
      </c>
      <c r="C26">
        <v>-22.111419999999999</v>
      </c>
      <c r="D26">
        <v>113.49442000000001</v>
      </c>
      <c r="E26" s="3" t="s">
        <v>25</v>
      </c>
      <c r="F26" s="1" t="s">
        <v>122</v>
      </c>
      <c r="G26">
        <v>0.94665252610618122</v>
      </c>
      <c r="H26">
        <v>24.196448265192799</v>
      </c>
      <c r="I26">
        <v>27.9711115979262</v>
      </c>
      <c r="J26">
        <v>34.076782601821897</v>
      </c>
      <c r="L26">
        <v>25.078882</v>
      </c>
      <c r="M26">
        <v>26.834534000000001</v>
      </c>
      <c r="N26">
        <v>26.347466000000001</v>
      </c>
      <c r="O26">
        <v>23.361115000000002</v>
      </c>
      <c r="P26">
        <v>23.772546999999999</v>
      </c>
    </row>
    <row r="27" spans="1:16" x14ac:dyDescent="0.2">
      <c r="A27">
        <v>18572</v>
      </c>
      <c r="B27">
        <v>1327.9</v>
      </c>
      <c r="C27">
        <v>-22.07827</v>
      </c>
      <c r="D27">
        <v>113.22843</v>
      </c>
      <c r="E27" s="3" t="s">
        <v>25</v>
      </c>
      <c r="F27" s="1" t="s">
        <v>126</v>
      </c>
      <c r="G27">
        <v>0.9284684367856515</v>
      </c>
      <c r="H27">
        <v>23.5401790059442</v>
      </c>
      <c r="I27">
        <v>27.0693771985399</v>
      </c>
      <c r="J27">
        <v>32.8729043499984</v>
      </c>
      <c r="L27">
        <v>25.101096999999999</v>
      </c>
      <c r="M27">
        <v>26.871834</v>
      </c>
      <c r="N27">
        <v>26.304030999999998</v>
      </c>
      <c r="O27">
        <v>23.366112000000001</v>
      </c>
      <c r="P27">
        <v>23.862463000000002</v>
      </c>
    </row>
    <row r="28" spans="1:16" x14ac:dyDescent="0.2">
      <c r="A28">
        <v>18573</v>
      </c>
      <c r="B28">
        <v>1250.5</v>
      </c>
      <c r="C28">
        <v>-22.620719999999999</v>
      </c>
      <c r="D28">
        <v>112.83682</v>
      </c>
      <c r="E28" s="3" t="s">
        <v>25</v>
      </c>
      <c r="F28" s="1" t="s">
        <v>130</v>
      </c>
      <c r="G28">
        <v>0.91114392960433199</v>
      </c>
      <c r="H28">
        <v>22.971078511790498</v>
      </c>
      <c r="I28">
        <v>26.254882370124001</v>
      </c>
      <c r="J28">
        <v>31.808487070786502</v>
      </c>
      <c r="L28">
        <v>24.818114999999999</v>
      </c>
      <c r="M28">
        <v>26.574172999999998</v>
      </c>
      <c r="N28">
        <v>25.984064</v>
      </c>
      <c r="O28">
        <v>23.135950000000001</v>
      </c>
      <c r="P28">
        <v>23.578317999999999</v>
      </c>
    </row>
    <row r="29" spans="1:16" x14ac:dyDescent="0.2">
      <c r="A29">
        <v>18574</v>
      </c>
      <c r="B29">
        <v>504.5</v>
      </c>
      <c r="C29">
        <v>-24.231549999999999</v>
      </c>
      <c r="D29">
        <v>112.36862000000001</v>
      </c>
      <c r="E29" s="3" t="s">
        <v>25</v>
      </c>
      <c r="F29" s="1" t="s">
        <v>134</v>
      </c>
      <c r="G29">
        <v>0.90512744584405824</v>
      </c>
      <c r="H29">
        <v>22.778132474284298</v>
      </c>
      <c r="I29">
        <v>26.007701095117699</v>
      </c>
      <c r="J29">
        <v>31.419850583813702</v>
      </c>
      <c r="L29">
        <v>23.888487000000001</v>
      </c>
      <c r="M29">
        <v>25.307784999999999</v>
      </c>
      <c r="N29">
        <v>25.077272000000001</v>
      </c>
      <c r="O29">
        <v>22.429452999999999</v>
      </c>
      <c r="P29">
        <v>22.739494000000001</v>
      </c>
    </row>
    <row r="30" spans="1:16" x14ac:dyDescent="0.2">
      <c r="A30">
        <v>18575</v>
      </c>
      <c r="B30">
        <v>1032</v>
      </c>
      <c r="C30">
        <v>-24.231529999999999</v>
      </c>
      <c r="D30">
        <v>111.85302</v>
      </c>
      <c r="E30" s="3" t="s">
        <v>25</v>
      </c>
      <c r="F30" s="1" t="s">
        <v>138</v>
      </c>
      <c r="G30">
        <v>0.88321342472823861</v>
      </c>
      <c r="H30">
        <v>22.027688102920798</v>
      </c>
      <c r="I30">
        <v>25.076201105501401</v>
      </c>
      <c r="J30">
        <v>29.8676098674249</v>
      </c>
      <c r="L30">
        <v>23.845445999999999</v>
      </c>
      <c r="M30">
        <v>25.291899999999998</v>
      </c>
      <c r="N30">
        <v>24.945679999999999</v>
      </c>
      <c r="O30">
        <v>22.348669999999998</v>
      </c>
      <c r="P30">
        <v>22.795529999999999</v>
      </c>
    </row>
    <row r="31" spans="1:16" x14ac:dyDescent="0.2">
      <c r="A31">
        <v>18576</v>
      </c>
      <c r="B31">
        <v>1725.9</v>
      </c>
      <c r="C31">
        <v>-24.139849999999999</v>
      </c>
      <c r="D31">
        <v>111.34083</v>
      </c>
      <c r="E31" s="3" t="s">
        <v>25</v>
      </c>
      <c r="F31" s="1" t="s">
        <v>142</v>
      </c>
      <c r="G31">
        <v>0.89101924643304931</v>
      </c>
      <c r="H31">
        <v>22.307652442094302</v>
      </c>
      <c r="I31">
        <v>25.390004332590401</v>
      </c>
      <c r="J31">
        <v>30.4757700269964</v>
      </c>
      <c r="L31">
        <v>23.723130999999999</v>
      </c>
      <c r="M31">
        <v>25.187078</v>
      </c>
      <c r="N31">
        <v>24.752838000000001</v>
      </c>
      <c r="O31">
        <v>22.209914999999999</v>
      </c>
      <c r="P31">
        <v>22.742683</v>
      </c>
    </row>
    <row r="32" spans="1:16" x14ac:dyDescent="0.2">
      <c r="A32">
        <v>18578</v>
      </c>
      <c r="B32">
        <v>1678.9</v>
      </c>
      <c r="C32">
        <v>-25.37097</v>
      </c>
      <c r="D32">
        <v>111.09522</v>
      </c>
      <c r="E32" s="3" t="s">
        <v>25</v>
      </c>
      <c r="F32" s="1" t="s">
        <v>146</v>
      </c>
      <c r="G32">
        <v>0.86228720728323138</v>
      </c>
      <c r="H32">
        <v>21.307718058370501</v>
      </c>
      <c r="I32">
        <v>24.256689060837999</v>
      </c>
      <c r="J32">
        <v>28.421848667740498</v>
      </c>
      <c r="L32">
        <v>23.041371999999999</v>
      </c>
      <c r="M32">
        <v>24.585049999999999</v>
      </c>
      <c r="N32">
        <v>23.847498000000002</v>
      </c>
      <c r="O32">
        <v>21.504003999999998</v>
      </c>
      <c r="P32">
        <v>22.228935</v>
      </c>
    </row>
    <row r="33" spans="1:16" x14ac:dyDescent="0.2">
      <c r="A33">
        <v>18579</v>
      </c>
      <c r="B33">
        <v>715.1</v>
      </c>
      <c r="C33">
        <v>-25.10155</v>
      </c>
      <c r="D33">
        <v>111.84885</v>
      </c>
      <c r="E33" s="3" t="s">
        <v>25</v>
      </c>
      <c r="F33" s="1" t="s">
        <v>150</v>
      </c>
      <c r="G33">
        <v>0.87820685930326758</v>
      </c>
      <c r="H33">
        <v>21.883739143086999</v>
      </c>
      <c r="I33">
        <v>24.876310785230999</v>
      </c>
      <c r="J33">
        <v>29.542719021335198</v>
      </c>
      <c r="L33">
        <v>23.422713999999999</v>
      </c>
      <c r="M33">
        <v>24.805016999999999</v>
      </c>
      <c r="N33">
        <v>24.484026</v>
      </c>
      <c r="O33">
        <v>21.93027</v>
      </c>
      <c r="P33">
        <v>22.47156</v>
      </c>
    </row>
    <row r="34" spans="1:16" x14ac:dyDescent="0.2">
      <c r="A34">
        <v>18580</v>
      </c>
      <c r="B34">
        <v>1369.1</v>
      </c>
      <c r="C34">
        <v>-24.568930000000002</v>
      </c>
      <c r="D34">
        <v>111.24592</v>
      </c>
      <c r="E34" s="3" t="s">
        <v>25</v>
      </c>
      <c r="F34" s="1" t="s">
        <v>154</v>
      </c>
      <c r="G34">
        <v>0.87588740820296618</v>
      </c>
      <c r="H34">
        <v>21.821111163608599</v>
      </c>
      <c r="I34">
        <v>24.832114704276002</v>
      </c>
      <c r="J34">
        <v>29.448422497271</v>
      </c>
      <c r="L34">
        <v>23.40541</v>
      </c>
      <c r="M34">
        <v>24.904914999999999</v>
      </c>
      <c r="N34">
        <v>24.309532000000001</v>
      </c>
      <c r="O34">
        <v>21.881492999999999</v>
      </c>
      <c r="P34">
        <v>22.525697999999998</v>
      </c>
    </row>
    <row r="35" spans="1:16" x14ac:dyDescent="0.2">
      <c r="A35">
        <v>18582</v>
      </c>
      <c r="B35">
        <v>1571.5</v>
      </c>
      <c r="C35">
        <v>-25.898330000000001</v>
      </c>
      <c r="D35">
        <v>111.37203</v>
      </c>
      <c r="E35" s="3" t="s">
        <v>25</v>
      </c>
      <c r="F35" s="1" t="s">
        <v>158</v>
      </c>
      <c r="G35">
        <v>0.85894086915222034</v>
      </c>
      <c r="H35">
        <v>21.2681311587042</v>
      </c>
      <c r="I35">
        <v>24.1760244052271</v>
      </c>
      <c r="J35">
        <v>28.151044758062302</v>
      </c>
      <c r="L35">
        <v>22.897448000000001</v>
      </c>
      <c r="M35">
        <v>24.392088000000001</v>
      </c>
      <c r="N35">
        <v>23.798079000000001</v>
      </c>
      <c r="O35">
        <v>21.346450000000001</v>
      </c>
      <c r="P35">
        <v>22.053152000000001</v>
      </c>
    </row>
    <row r="36" spans="1:16" s="23" customFormat="1" x14ac:dyDescent="0.2">
      <c r="A36" s="23">
        <v>18584</v>
      </c>
      <c r="B36" s="23">
        <v>1121.0999999999999</v>
      </c>
      <c r="C36" s="23">
        <v>-27.769770000000001</v>
      </c>
      <c r="D36" s="23">
        <v>112.42052</v>
      </c>
      <c r="E36" s="24" t="s">
        <v>25</v>
      </c>
      <c r="F36" s="25" t="s">
        <v>162</v>
      </c>
      <c r="G36" s="23">
        <v>0.85684770845523317</v>
      </c>
      <c r="H36" s="23">
        <v>21.188499231068299</v>
      </c>
      <c r="I36" s="23">
        <v>24.092489536094199</v>
      </c>
      <c r="J36" s="23">
        <v>28.066728688433301</v>
      </c>
      <c r="K36" s="25"/>
      <c r="L36" s="23">
        <v>22.307167</v>
      </c>
      <c r="M36" s="23">
        <v>23.599867</v>
      </c>
      <c r="N36" s="23">
        <v>23.624199999999998</v>
      </c>
      <c r="O36" s="23">
        <v>20.874455999999999</v>
      </c>
      <c r="P36" s="23">
        <v>21.130144000000001</v>
      </c>
    </row>
    <row r="37" spans="1:16" s="23" customFormat="1" x14ac:dyDescent="0.2">
      <c r="A37" s="23">
        <v>18585</v>
      </c>
      <c r="B37" s="23">
        <v>1182.7</v>
      </c>
      <c r="C37" s="23">
        <v>-27.255420000000001</v>
      </c>
      <c r="D37" s="23">
        <v>112.03628</v>
      </c>
      <c r="E37" s="24" t="s">
        <v>25</v>
      </c>
      <c r="F37" s="25" t="s">
        <v>166</v>
      </c>
      <c r="G37" s="23">
        <v>0.85702906288781788</v>
      </c>
      <c r="H37" s="23">
        <v>21.1716414774646</v>
      </c>
      <c r="I37" s="23">
        <v>24.0729309429857</v>
      </c>
      <c r="J37" s="23">
        <v>28.1106452559263</v>
      </c>
      <c r="K37" s="25"/>
      <c r="L37" s="23">
        <v>22.46808</v>
      </c>
      <c r="M37" s="23">
        <v>23.753036000000002</v>
      </c>
      <c r="N37" s="23">
        <v>23.727148</v>
      </c>
      <c r="O37" s="23">
        <v>21.033234</v>
      </c>
      <c r="P37" s="23">
        <v>21.358910000000002</v>
      </c>
    </row>
    <row r="38" spans="1:16" s="23" customFormat="1" x14ac:dyDescent="0.2">
      <c r="A38" s="23">
        <v>18586</v>
      </c>
      <c r="B38" s="23">
        <v>1014.6</v>
      </c>
      <c r="C38" s="23">
        <v>-28.1418</v>
      </c>
      <c r="D38" s="23">
        <v>112.63387</v>
      </c>
      <c r="E38" s="24" t="s">
        <v>25</v>
      </c>
      <c r="F38" s="25" t="s">
        <v>170</v>
      </c>
      <c r="G38" s="23">
        <v>0.8657665996403987</v>
      </c>
      <c r="H38" s="23">
        <v>21.467523024137598</v>
      </c>
      <c r="I38" s="23">
        <v>24.4144739933853</v>
      </c>
      <c r="J38" s="23">
        <v>28.692100372072701</v>
      </c>
      <c r="K38" s="25"/>
      <c r="L38" s="23">
        <v>22.253112999999999</v>
      </c>
      <c r="M38" s="23">
        <v>23.526700999999999</v>
      </c>
      <c r="N38" s="23">
        <v>23.620567000000001</v>
      </c>
      <c r="O38" s="23">
        <v>20.809480000000001</v>
      </c>
      <c r="P38" s="23">
        <v>21.055681</v>
      </c>
    </row>
    <row r="39" spans="1:16" s="23" customFormat="1" x14ac:dyDescent="0.2">
      <c r="A39" s="23">
        <v>18587</v>
      </c>
      <c r="B39" s="23">
        <v>797.8</v>
      </c>
      <c r="C39" s="23">
        <v>-28.12893</v>
      </c>
      <c r="D39" s="23">
        <v>112.93697</v>
      </c>
      <c r="E39" s="24" t="s">
        <v>25</v>
      </c>
      <c r="F39" s="25" t="s">
        <v>174</v>
      </c>
      <c r="G39" s="23">
        <v>0.86381784760300251</v>
      </c>
      <c r="H39" s="23">
        <v>21.401282505650201</v>
      </c>
      <c r="I39" s="23">
        <v>24.361543026747899</v>
      </c>
      <c r="J39" s="23">
        <v>28.6615495134795</v>
      </c>
      <c r="K39" s="25"/>
      <c r="L39" s="23">
        <v>22.318650000000002</v>
      </c>
      <c r="M39" s="23">
        <v>23.558716</v>
      </c>
      <c r="N39" s="23">
        <v>23.743155000000002</v>
      </c>
      <c r="O39" s="23">
        <v>20.87116</v>
      </c>
      <c r="P39" s="23">
        <v>21.101538000000001</v>
      </c>
    </row>
    <row r="40" spans="1:16" s="23" customFormat="1" x14ac:dyDescent="0.2">
      <c r="A40" s="23">
        <v>18588</v>
      </c>
      <c r="B40" s="23">
        <v>810.2</v>
      </c>
      <c r="C40" s="23">
        <v>-28.384730000000001</v>
      </c>
      <c r="D40" s="23">
        <v>113.01653</v>
      </c>
      <c r="E40" s="24" t="s">
        <v>25</v>
      </c>
      <c r="F40" s="25" t="s">
        <v>178</v>
      </c>
      <c r="G40" s="23">
        <v>0.9080860582933088</v>
      </c>
      <c r="H40" s="23">
        <v>22.8493096998887</v>
      </c>
      <c r="I40" s="23">
        <v>26.1546381888772</v>
      </c>
      <c r="J40" s="23">
        <v>31.577216906670898</v>
      </c>
      <c r="K40" s="25"/>
      <c r="L40" s="23">
        <v>22.215532</v>
      </c>
      <c r="M40" s="23">
        <v>23.425932</v>
      </c>
      <c r="N40" s="23">
        <v>23.639816</v>
      </c>
      <c r="O40" s="23">
        <v>20.801867000000001</v>
      </c>
      <c r="P40" s="23">
        <v>20.994520000000001</v>
      </c>
    </row>
    <row r="41" spans="1:16" s="23" customFormat="1" x14ac:dyDescent="0.2">
      <c r="A41" s="23">
        <v>18589</v>
      </c>
      <c r="B41" s="23">
        <v>2485.8000000000002</v>
      </c>
      <c r="C41" s="23">
        <v>-28.967880000000001</v>
      </c>
      <c r="D41" s="23">
        <v>112.87597</v>
      </c>
      <c r="E41" s="24" t="s">
        <v>25</v>
      </c>
      <c r="F41" s="25" t="s">
        <v>182</v>
      </c>
      <c r="G41" s="23">
        <v>0.87390830775324291</v>
      </c>
      <c r="H41" s="23">
        <v>21.780991044493799</v>
      </c>
      <c r="I41" s="23">
        <v>24.721548659526501</v>
      </c>
      <c r="J41" s="23">
        <v>29.220125146661399</v>
      </c>
      <c r="K41" s="25"/>
      <c r="L41" s="23">
        <v>21.861333999999999</v>
      </c>
      <c r="M41" s="23">
        <v>23.116952999999999</v>
      </c>
      <c r="N41" s="23">
        <v>23.15053</v>
      </c>
      <c r="O41" s="23">
        <v>20.463839</v>
      </c>
      <c r="P41" s="23">
        <v>20.713951000000002</v>
      </c>
    </row>
    <row r="44" spans="1:16" x14ac:dyDescent="0.2">
      <c r="A44" t="s">
        <v>306</v>
      </c>
    </row>
    <row r="45" spans="1:16" ht="17" thickBot="1" x14ac:dyDescent="0.25"/>
    <row r="46" spans="1:16" x14ac:dyDescent="0.2">
      <c r="A46" s="6" t="s">
        <v>0</v>
      </c>
      <c r="B46" s="7" t="s">
        <v>1</v>
      </c>
      <c r="C46" s="7" t="s">
        <v>2</v>
      </c>
      <c r="D46" s="7" t="s">
        <v>3</v>
      </c>
      <c r="E46" s="8" t="s">
        <v>4</v>
      </c>
      <c r="F46" s="9" t="s">
        <v>14</v>
      </c>
      <c r="G46" s="10" t="s">
        <v>15</v>
      </c>
      <c r="H46" s="11" t="s">
        <v>11</v>
      </c>
      <c r="I46" s="11" t="s">
        <v>12</v>
      </c>
      <c r="J46" s="11" t="s">
        <v>13</v>
      </c>
      <c r="K46" s="8"/>
      <c r="L46" s="12" t="s">
        <v>16</v>
      </c>
      <c r="M46" s="12" t="s">
        <v>17</v>
      </c>
      <c r="N46" s="12" t="s">
        <v>18</v>
      </c>
      <c r="O46" s="12" t="s">
        <v>228</v>
      </c>
      <c r="P46" s="12" t="s">
        <v>229</v>
      </c>
    </row>
    <row r="47" spans="1:16" ht="17" thickBot="1" x14ac:dyDescent="0.25">
      <c r="A47" s="13"/>
      <c r="B47" s="14"/>
      <c r="C47" s="14"/>
      <c r="D47" s="14"/>
      <c r="E47" s="14"/>
      <c r="F47" s="15"/>
      <c r="G47" s="14"/>
      <c r="H47" s="14" t="s">
        <v>22</v>
      </c>
      <c r="I47" s="14" t="s">
        <v>22</v>
      </c>
      <c r="J47" s="14" t="s">
        <v>22</v>
      </c>
      <c r="K47" s="14"/>
      <c r="L47" s="16" t="s">
        <v>227</v>
      </c>
      <c r="M47" s="16" t="s">
        <v>227</v>
      </c>
      <c r="N47" s="16" t="s">
        <v>227</v>
      </c>
      <c r="O47" s="16" t="s">
        <v>227</v>
      </c>
      <c r="P47" s="16" t="s">
        <v>227</v>
      </c>
    </row>
    <row r="48" spans="1:16" x14ac:dyDescent="0.2">
      <c r="A48">
        <v>18547</v>
      </c>
      <c r="B48">
        <v>1460.5</v>
      </c>
      <c r="C48">
        <v>-15.055149999999999</v>
      </c>
      <c r="D48">
        <v>120.4362</v>
      </c>
      <c r="E48" t="s">
        <v>25</v>
      </c>
      <c r="F48" s="1" t="s">
        <v>26</v>
      </c>
      <c r="G48">
        <v>0.98754813188061763</v>
      </c>
      <c r="H48">
        <v>25.573858434520901</v>
      </c>
      <c r="I48">
        <v>29.948080552460102</v>
      </c>
      <c r="J48">
        <v>36.353939345738098</v>
      </c>
      <c r="K48"/>
      <c r="L48" t="s">
        <v>27</v>
      </c>
      <c r="M48" t="s">
        <v>28</v>
      </c>
      <c r="N48" t="s">
        <v>29</v>
      </c>
      <c r="O48" t="s">
        <v>230</v>
      </c>
      <c r="P48" t="s">
        <v>231</v>
      </c>
    </row>
    <row r="49" spans="1:16" x14ac:dyDescent="0.2">
      <c r="A49">
        <v>18549</v>
      </c>
      <c r="B49">
        <v>1628.5</v>
      </c>
      <c r="C49">
        <v>-15.961550000000001</v>
      </c>
      <c r="D49">
        <v>119.50967</v>
      </c>
      <c r="E49" t="s">
        <v>25</v>
      </c>
      <c r="F49" s="1" t="s">
        <v>32</v>
      </c>
      <c r="G49">
        <v>0.97153867808225824</v>
      </c>
      <c r="H49">
        <v>24.992873818402298</v>
      </c>
      <c r="I49">
        <v>29.165446908123599</v>
      </c>
      <c r="J49">
        <v>35.437149913959303</v>
      </c>
      <c r="K49"/>
      <c r="L49" t="s">
        <v>33</v>
      </c>
      <c r="M49" t="s">
        <v>34</v>
      </c>
      <c r="N49" t="s">
        <v>35</v>
      </c>
      <c r="O49" t="s">
        <v>232</v>
      </c>
      <c r="P49" t="s">
        <v>233</v>
      </c>
    </row>
    <row r="50" spans="1:16" x14ac:dyDescent="0.2">
      <c r="A50">
        <v>18550</v>
      </c>
      <c r="B50">
        <v>1388</v>
      </c>
      <c r="C50">
        <v>-16.859529999999999</v>
      </c>
      <c r="D50">
        <v>118.75702</v>
      </c>
      <c r="E50" t="s">
        <v>25</v>
      </c>
      <c r="F50" s="1" t="s">
        <v>37</v>
      </c>
      <c r="G50">
        <v>0.97714103319583578</v>
      </c>
      <c r="H50">
        <v>25.2075737504342</v>
      </c>
      <c r="I50">
        <v>29.3655108680754</v>
      </c>
      <c r="J50">
        <v>35.712713979641599</v>
      </c>
      <c r="K50"/>
      <c r="L50" t="s">
        <v>38</v>
      </c>
      <c r="M50" t="s">
        <v>39</v>
      </c>
      <c r="N50" t="s">
        <v>40</v>
      </c>
      <c r="O50" t="s">
        <v>234</v>
      </c>
      <c r="P50" t="s">
        <v>235</v>
      </c>
    </row>
    <row r="51" spans="1:16" x14ac:dyDescent="0.2">
      <c r="A51">
        <v>18551</v>
      </c>
      <c r="B51">
        <v>668.8</v>
      </c>
      <c r="C51">
        <v>-17.591550000000002</v>
      </c>
      <c r="D51">
        <v>118.44568</v>
      </c>
      <c r="E51" t="s">
        <v>25</v>
      </c>
      <c r="F51" s="1" t="s">
        <v>42</v>
      </c>
      <c r="G51">
        <v>0.97130863012009894</v>
      </c>
      <c r="H51">
        <v>24.991015474359799</v>
      </c>
      <c r="I51">
        <v>29.114845533768701</v>
      </c>
      <c r="J51">
        <v>35.340027742995701</v>
      </c>
      <c r="K51"/>
      <c r="L51" t="s">
        <v>43</v>
      </c>
      <c r="M51" t="s">
        <v>44</v>
      </c>
      <c r="N51" t="s">
        <v>45</v>
      </c>
      <c r="O51" t="s">
        <v>236</v>
      </c>
      <c r="P51" t="s">
        <v>237</v>
      </c>
    </row>
    <row r="52" spans="1:16" x14ac:dyDescent="0.2">
      <c r="A52">
        <v>18552</v>
      </c>
      <c r="B52">
        <v>1951.3</v>
      </c>
      <c r="C52">
        <v>-17.67595</v>
      </c>
      <c r="D52">
        <v>117.69401999999999</v>
      </c>
      <c r="E52" t="s">
        <v>25</v>
      </c>
      <c r="F52" s="1" t="s">
        <v>47</v>
      </c>
      <c r="G52">
        <v>0.97718708008769539</v>
      </c>
      <c r="H52">
        <v>25.195842606737202</v>
      </c>
      <c r="I52">
        <v>29.412206786830001</v>
      </c>
      <c r="J52">
        <v>35.723584326467801</v>
      </c>
      <c r="K52"/>
      <c r="L52" t="s">
        <v>48</v>
      </c>
      <c r="M52" t="s">
        <v>49</v>
      </c>
      <c r="N52" t="s">
        <v>50</v>
      </c>
      <c r="O52" t="s">
        <v>238</v>
      </c>
      <c r="P52" t="s">
        <v>239</v>
      </c>
    </row>
    <row r="53" spans="1:16" x14ac:dyDescent="0.2">
      <c r="A53">
        <v>18553</v>
      </c>
      <c r="B53">
        <v>1619.7</v>
      </c>
      <c r="C53">
        <v>-18.116350000000001</v>
      </c>
      <c r="D53">
        <v>117.11663</v>
      </c>
      <c r="E53" t="s">
        <v>25</v>
      </c>
      <c r="F53" s="1" t="s">
        <v>52</v>
      </c>
      <c r="G53">
        <v>0.96687415934186238</v>
      </c>
      <c r="H53">
        <v>24.8541081096946</v>
      </c>
      <c r="I53">
        <v>28.918404602019098</v>
      </c>
      <c r="J53">
        <v>35.1465799247473</v>
      </c>
      <c r="K53"/>
      <c r="L53" t="s">
        <v>53</v>
      </c>
      <c r="M53" t="s">
        <v>54</v>
      </c>
      <c r="N53" t="s">
        <v>55</v>
      </c>
      <c r="O53" t="s">
        <v>240</v>
      </c>
      <c r="P53" t="s">
        <v>241</v>
      </c>
    </row>
    <row r="54" spans="1:16" x14ac:dyDescent="0.2">
      <c r="A54">
        <v>18554</v>
      </c>
      <c r="B54">
        <v>497.9</v>
      </c>
      <c r="C54">
        <v>-18.53323</v>
      </c>
      <c r="D54">
        <v>117.36642000000001</v>
      </c>
      <c r="E54" t="s">
        <v>25</v>
      </c>
      <c r="F54" s="1" t="s">
        <v>56</v>
      </c>
      <c r="G54">
        <v>0.97528067894243808</v>
      </c>
      <c r="H54">
        <v>25.114646758288998</v>
      </c>
      <c r="I54">
        <v>29.299421597148001</v>
      </c>
      <c r="J54">
        <v>35.623542960064803</v>
      </c>
      <c r="K54"/>
      <c r="L54" t="s">
        <v>57</v>
      </c>
      <c r="M54" t="s">
        <v>58</v>
      </c>
      <c r="N54" t="s">
        <v>59</v>
      </c>
      <c r="O54" t="s">
        <v>242</v>
      </c>
      <c r="P54" t="s">
        <v>243</v>
      </c>
    </row>
    <row r="55" spans="1:16" x14ac:dyDescent="0.2">
      <c r="A55">
        <v>18555</v>
      </c>
      <c r="B55">
        <v>1113.7</v>
      </c>
      <c r="C55">
        <v>-18.350850000000001</v>
      </c>
      <c r="D55">
        <v>117.25673</v>
      </c>
      <c r="E55" t="s">
        <v>25</v>
      </c>
      <c r="F55" s="1" t="s">
        <v>61</v>
      </c>
      <c r="G55">
        <v>0.97041202691145345</v>
      </c>
      <c r="H55">
        <v>24.943470422210702</v>
      </c>
      <c r="I55">
        <v>29.055872684674199</v>
      </c>
      <c r="J55">
        <v>35.308623602763802</v>
      </c>
      <c r="K55"/>
      <c r="L55" t="s">
        <v>62</v>
      </c>
      <c r="M55" t="s">
        <v>63</v>
      </c>
      <c r="N55" t="s">
        <v>64</v>
      </c>
      <c r="O55" t="s">
        <v>244</v>
      </c>
      <c r="P55" t="s">
        <v>245</v>
      </c>
    </row>
    <row r="56" spans="1:16" x14ac:dyDescent="0.2">
      <c r="A56">
        <v>18556</v>
      </c>
      <c r="B56">
        <v>1843.6</v>
      </c>
      <c r="C56">
        <v>-17.1036</v>
      </c>
      <c r="D56">
        <v>117.23048</v>
      </c>
      <c r="E56" t="s">
        <v>30</v>
      </c>
      <c r="F56" s="1" t="s">
        <v>66</v>
      </c>
      <c r="G56">
        <v>0.9712976402093968</v>
      </c>
      <c r="H56">
        <v>24.9853880795478</v>
      </c>
      <c r="I56">
        <v>29.102497050760299</v>
      </c>
      <c r="J56">
        <v>35.322413638727099</v>
      </c>
      <c r="K56"/>
      <c r="L56" t="s">
        <v>67</v>
      </c>
      <c r="M56" t="s">
        <v>68</v>
      </c>
      <c r="N56" t="s">
        <v>69</v>
      </c>
      <c r="O56" t="s">
        <v>246</v>
      </c>
      <c r="P56" t="s">
        <v>247</v>
      </c>
    </row>
    <row r="57" spans="1:16" x14ac:dyDescent="0.2">
      <c r="A57">
        <v>18557</v>
      </c>
      <c r="B57">
        <v>2405.9</v>
      </c>
      <c r="C57">
        <v>-17.54862</v>
      </c>
      <c r="D57">
        <v>117.14593000000001</v>
      </c>
      <c r="E57" s="3" t="s">
        <v>25</v>
      </c>
      <c r="F57" s="1" t="s">
        <v>70</v>
      </c>
      <c r="G57">
        <v>0.96863983037616319</v>
      </c>
      <c r="H57">
        <v>24.871160826968101</v>
      </c>
      <c r="I57">
        <v>29.044931542377402</v>
      </c>
      <c r="J57">
        <v>35.245449644325298</v>
      </c>
      <c r="K57"/>
      <c r="L57" t="s">
        <v>71</v>
      </c>
      <c r="M57" t="s">
        <v>72</v>
      </c>
      <c r="N57" t="s">
        <v>73</v>
      </c>
      <c r="O57" t="s">
        <v>248</v>
      </c>
      <c r="P57" t="s">
        <v>249</v>
      </c>
    </row>
    <row r="58" spans="1:16" x14ac:dyDescent="0.2">
      <c r="A58">
        <v>18558</v>
      </c>
      <c r="B58">
        <v>1755.4</v>
      </c>
      <c r="C58">
        <v>-18.399229999999999</v>
      </c>
      <c r="D58">
        <v>115.22788</v>
      </c>
      <c r="E58" t="s">
        <v>25</v>
      </c>
      <c r="F58" s="1" t="s">
        <v>74</v>
      </c>
      <c r="G58">
        <v>0.950212087482326</v>
      </c>
      <c r="H58">
        <v>24.2610460288093</v>
      </c>
      <c r="I58">
        <v>28.053957738194899</v>
      </c>
      <c r="J58">
        <v>34.1998371166911</v>
      </c>
      <c r="K58"/>
      <c r="L58" t="s">
        <v>75</v>
      </c>
      <c r="M58" t="s">
        <v>76</v>
      </c>
      <c r="N58" t="s">
        <v>77</v>
      </c>
      <c r="O58" t="s">
        <v>250</v>
      </c>
      <c r="P58" t="s">
        <v>251</v>
      </c>
    </row>
    <row r="59" spans="1:16" x14ac:dyDescent="0.2">
      <c r="A59">
        <v>18559</v>
      </c>
      <c r="B59">
        <v>1976.5</v>
      </c>
      <c r="C59">
        <v>-18.083320000000001</v>
      </c>
      <c r="D59">
        <v>115.04773</v>
      </c>
      <c r="E59" s="3" t="s">
        <v>25</v>
      </c>
      <c r="F59" s="1" t="s">
        <v>79</v>
      </c>
      <c r="G59">
        <v>0.95319101119563343</v>
      </c>
      <c r="H59">
        <v>24.3619287384047</v>
      </c>
      <c r="I59">
        <v>28.260296540064999</v>
      </c>
      <c r="J59">
        <v>34.340321681334601</v>
      </c>
      <c r="K59"/>
      <c r="L59" t="s">
        <v>80</v>
      </c>
      <c r="M59" t="s">
        <v>81</v>
      </c>
      <c r="N59" t="s">
        <v>82</v>
      </c>
      <c r="O59" t="s">
        <v>252</v>
      </c>
      <c r="P59" t="s">
        <v>253</v>
      </c>
    </row>
    <row r="60" spans="1:16" x14ac:dyDescent="0.2">
      <c r="A60">
        <v>18560</v>
      </c>
      <c r="B60">
        <v>868.8</v>
      </c>
      <c r="C60">
        <v>-19.30397</v>
      </c>
      <c r="D60">
        <v>115.43213</v>
      </c>
      <c r="E60" s="3" t="s">
        <v>25</v>
      </c>
      <c r="F60" s="1" t="s">
        <v>84</v>
      </c>
      <c r="G60">
        <v>0.95384842696273464</v>
      </c>
      <c r="H60">
        <v>24.437553585228201</v>
      </c>
      <c r="I60">
        <v>28.2878767676915</v>
      </c>
      <c r="J60">
        <v>34.407428929348903</v>
      </c>
      <c r="K60"/>
      <c r="L60" t="s">
        <v>85</v>
      </c>
      <c r="M60" t="s">
        <v>86</v>
      </c>
      <c r="N60" t="s">
        <v>87</v>
      </c>
      <c r="O60" t="s">
        <v>254</v>
      </c>
      <c r="P60" t="s">
        <v>255</v>
      </c>
    </row>
    <row r="61" spans="1:16" x14ac:dyDescent="0.2">
      <c r="A61">
        <v>18561</v>
      </c>
      <c r="B61">
        <v>1185</v>
      </c>
      <c r="C61">
        <v>-19.242529999999999</v>
      </c>
      <c r="D61">
        <v>115.39917</v>
      </c>
      <c r="E61" s="3" t="s">
        <v>25</v>
      </c>
      <c r="F61" s="1" t="s">
        <v>88</v>
      </c>
      <c r="G61">
        <v>0.96198608520506945</v>
      </c>
      <c r="H61">
        <v>24.6706726064298</v>
      </c>
      <c r="I61">
        <v>28.698605589091901</v>
      </c>
      <c r="J61">
        <v>34.817585173832498</v>
      </c>
      <c r="K61"/>
      <c r="L61" t="s">
        <v>89</v>
      </c>
      <c r="M61" t="s">
        <v>90</v>
      </c>
      <c r="N61" t="s">
        <v>91</v>
      </c>
      <c r="O61" t="s">
        <v>256</v>
      </c>
      <c r="P61" t="s">
        <v>257</v>
      </c>
    </row>
    <row r="62" spans="1:16" x14ac:dyDescent="0.2">
      <c r="A62">
        <v>18562</v>
      </c>
      <c r="B62">
        <v>1298.8</v>
      </c>
      <c r="C62">
        <v>-19.416679999999999</v>
      </c>
      <c r="D62">
        <v>114.31898</v>
      </c>
      <c r="E62" t="s">
        <v>25</v>
      </c>
      <c r="F62" s="1" t="s">
        <v>92</v>
      </c>
      <c r="G62">
        <v>0.96355669655352127</v>
      </c>
      <c r="H62">
        <v>24.768333453950898</v>
      </c>
      <c r="I62">
        <v>28.762638915540901</v>
      </c>
      <c r="J62">
        <v>35.004353222423198</v>
      </c>
      <c r="K62"/>
      <c r="L62" t="s">
        <v>93</v>
      </c>
      <c r="M62" t="s">
        <v>94</v>
      </c>
      <c r="N62" t="s">
        <v>95</v>
      </c>
      <c r="O62" t="s">
        <v>258</v>
      </c>
      <c r="P62" t="s">
        <v>259</v>
      </c>
    </row>
    <row r="63" spans="1:16" x14ac:dyDescent="0.2">
      <c r="A63">
        <v>18564</v>
      </c>
      <c r="B63">
        <v>349.7</v>
      </c>
      <c r="C63">
        <v>-20.500679999999999</v>
      </c>
      <c r="D63">
        <v>114.78462</v>
      </c>
      <c r="E63" s="3" t="s">
        <v>25</v>
      </c>
      <c r="F63" s="1" t="s">
        <v>97</v>
      </c>
      <c r="G63">
        <v>0.97247816201986359</v>
      </c>
      <c r="H63">
        <v>25.007195053444502</v>
      </c>
      <c r="I63">
        <v>29.208447496996602</v>
      </c>
      <c r="J63">
        <v>35.418965939661398</v>
      </c>
      <c r="K63"/>
      <c r="L63" t="s">
        <v>98</v>
      </c>
      <c r="M63" t="s">
        <v>99</v>
      </c>
      <c r="N63" t="s">
        <v>100</v>
      </c>
      <c r="O63" t="s">
        <v>260</v>
      </c>
      <c r="P63" t="s">
        <v>261</v>
      </c>
    </row>
    <row r="64" spans="1:16" x14ac:dyDescent="0.2">
      <c r="A64">
        <v>18565</v>
      </c>
      <c r="B64">
        <v>1253.9000000000001</v>
      </c>
      <c r="C64">
        <v>-20.013950000000001</v>
      </c>
      <c r="D64">
        <v>114.23909999999999</v>
      </c>
      <c r="E64" s="3" t="s">
        <v>25</v>
      </c>
      <c r="F64" s="1" t="s">
        <v>101</v>
      </c>
      <c r="G64">
        <v>0.94431127323258646</v>
      </c>
      <c r="H64">
        <v>24.118429517343198</v>
      </c>
      <c r="I64">
        <v>27.826848159756199</v>
      </c>
      <c r="J64">
        <v>33.807703457941699</v>
      </c>
      <c r="K64"/>
      <c r="L64" t="s">
        <v>102</v>
      </c>
      <c r="M64" t="s">
        <v>103</v>
      </c>
      <c r="N64" t="s">
        <v>104</v>
      </c>
      <c r="O64" t="s">
        <v>262</v>
      </c>
      <c r="P64" t="s">
        <v>263</v>
      </c>
    </row>
    <row r="65" spans="1:16" x14ac:dyDescent="0.2">
      <c r="A65">
        <v>18566</v>
      </c>
      <c r="B65">
        <v>1133.5</v>
      </c>
      <c r="C65">
        <v>-19.645119999999999</v>
      </c>
      <c r="D65">
        <v>113.81055000000001</v>
      </c>
      <c r="E65" s="3" t="s">
        <v>105</v>
      </c>
      <c r="F65" s="1" t="s">
        <v>106</v>
      </c>
      <c r="G65">
        <v>0.95416895857476247</v>
      </c>
      <c r="H65">
        <v>24.436255911115399</v>
      </c>
      <c r="I65">
        <v>28.305739109107002</v>
      </c>
      <c r="J65">
        <v>34.430480355392298</v>
      </c>
      <c r="K65"/>
      <c r="L65" t="s">
        <v>107</v>
      </c>
      <c r="M65" t="s">
        <v>108</v>
      </c>
      <c r="N65" t="s">
        <v>109</v>
      </c>
      <c r="O65" t="s">
        <v>264</v>
      </c>
      <c r="P65" t="s">
        <v>265</v>
      </c>
    </row>
    <row r="66" spans="1:16" x14ac:dyDescent="0.2">
      <c r="A66">
        <v>18567</v>
      </c>
      <c r="B66">
        <v>1131</v>
      </c>
      <c r="C66">
        <v>-19.520579999999999</v>
      </c>
      <c r="D66">
        <v>113.05877</v>
      </c>
      <c r="E66" s="3" t="s">
        <v>25</v>
      </c>
      <c r="F66" s="1" t="s">
        <v>110</v>
      </c>
      <c r="G66">
        <v>0.92885450855952167</v>
      </c>
      <c r="H66">
        <v>23.5503364635609</v>
      </c>
      <c r="I66">
        <v>27.0743680615149</v>
      </c>
      <c r="J66">
        <v>32.9050971401021</v>
      </c>
      <c r="K66"/>
      <c r="L66" t="s">
        <v>111</v>
      </c>
      <c r="M66" t="s">
        <v>112</v>
      </c>
      <c r="N66" t="s">
        <v>113</v>
      </c>
      <c r="O66" t="s">
        <v>266</v>
      </c>
      <c r="P66" t="s">
        <v>267</v>
      </c>
    </row>
    <row r="67" spans="1:16" x14ac:dyDescent="0.2">
      <c r="A67">
        <v>18568</v>
      </c>
      <c r="B67">
        <v>1100</v>
      </c>
      <c r="C67">
        <v>-20.610029999999998</v>
      </c>
      <c r="D67">
        <v>113.62438</v>
      </c>
      <c r="E67" s="3" t="s">
        <v>25</v>
      </c>
      <c r="F67" s="1" t="s">
        <v>114</v>
      </c>
      <c r="G67">
        <v>0.95261489639862784</v>
      </c>
      <c r="H67">
        <v>24.338743167535998</v>
      </c>
      <c r="I67">
        <v>28.283778882002601</v>
      </c>
      <c r="J67">
        <v>34.442524391043698</v>
      </c>
      <c r="K67"/>
      <c r="L67" t="s">
        <v>115</v>
      </c>
      <c r="M67" t="s">
        <v>116</v>
      </c>
      <c r="N67" t="s">
        <v>117</v>
      </c>
      <c r="O67" t="s">
        <v>268</v>
      </c>
      <c r="P67" t="s">
        <v>269</v>
      </c>
    </row>
    <row r="68" spans="1:16" x14ac:dyDescent="0.2">
      <c r="A68">
        <v>18570</v>
      </c>
      <c r="B68">
        <v>1182.4000000000001</v>
      </c>
      <c r="C68">
        <v>-20.991119999999999</v>
      </c>
      <c r="D68">
        <v>113.44884999999999</v>
      </c>
      <c r="E68" s="3" t="s">
        <v>25</v>
      </c>
      <c r="F68" s="1" t="s">
        <v>118</v>
      </c>
      <c r="G68">
        <v>0.94132607048807759</v>
      </c>
      <c r="H68">
        <v>23.961252814224</v>
      </c>
      <c r="I68">
        <v>27.648499541882099</v>
      </c>
      <c r="J68">
        <v>33.6890841708015</v>
      </c>
      <c r="K68"/>
      <c r="L68" t="s">
        <v>119</v>
      </c>
      <c r="M68" t="s">
        <v>120</v>
      </c>
      <c r="N68" t="s">
        <v>121</v>
      </c>
      <c r="O68" t="s">
        <v>270</v>
      </c>
      <c r="P68" t="s">
        <v>271</v>
      </c>
    </row>
    <row r="69" spans="1:16" x14ac:dyDescent="0.2">
      <c r="A69">
        <v>18571</v>
      </c>
      <c r="B69">
        <v>1049.3</v>
      </c>
      <c r="C69">
        <v>-22.111419999999999</v>
      </c>
      <c r="D69">
        <v>113.49442000000001</v>
      </c>
      <c r="E69" s="3" t="s">
        <v>25</v>
      </c>
      <c r="F69" s="1" t="s">
        <v>122</v>
      </c>
      <c r="G69">
        <v>0.94665252610618122</v>
      </c>
      <c r="H69">
        <v>24.196448265192799</v>
      </c>
      <c r="I69">
        <v>27.9711115979262</v>
      </c>
      <c r="J69">
        <v>34.076782601821897</v>
      </c>
      <c r="K69"/>
      <c r="L69" t="s">
        <v>123</v>
      </c>
      <c r="M69" t="s">
        <v>124</v>
      </c>
      <c r="N69" t="s">
        <v>125</v>
      </c>
      <c r="O69" t="s">
        <v>272</v>
      </c>
      <c r="P69" t="s">
        <v>273</v>
      </c>
    </row>
    <row r="70" spans="1:16" x14ac:dyDescent="0.2">
      <c r="A70">
        <v>18572</v>
      </c>
      <c r="B70">
        <v>1327.9</v>
      </c>
      <c r="C70">
        <v>-22.07827</v>
      </c>
      <c r="D70">
        <v>113.22843</v>
      </c>
      <c r="E70" s="3" t="s">
        <v>25</v>
      </c>
      <c r="F70" s="1" t="s">
        <v>126</v>
      </c>
      <c r="G70">
        <v>0.9284684367856515</v>
      </c>
      <c r="H70">
        <v>23.5401790059442</v>
      </c>
      <c r="I70">
        <v>27.0693771985399</v>
      </c>
      <c r="J70">
        <v>32.8729043499984</v>
      </c>
      <c r="K70"/>
      <c r="L70" t="s">
        <v>127</v>
      </c>
      <c r="M70" t="s">
        <v>128</v>
      </c>
      <c r="N70" t="s">
        <v>129</v>
      </c>
      <c r="O70" t="s">
        <v>274</v>
      </c>
      <c r="P70" t="s">
        <v>275</v>
      </c>
    </row>
    <row r="71" spans="1:16" x14ac:dyDescent="0.2">
      <c r="A71">
        <v>18573</v>
      </c>
      <c r="B71">
        <v>1250.5</v>
      </c>
      <c r="C71">
        <v>-22.620719999999999</v>
      </c>
      <c r="D71">
        <v>112.83682</v>
      </c>
      <c r="E71" s="3" t="s">
        <v>25</v>
      </c>
      <c r="F71" s="1" t="s">
        <v>130</v>
      </c>
      <c r="G71">
        <v>0.91114392960433199</v>
      </c>
      <c r="H71">
        <v>22.971078511790498</v>
      </c>
      <c r="I71">
        <v>26.254882370124001</v>
      </c>
      <c r="J71">
        <v>31.808487070786502</v>
      </c>
      <c r="K71"/>
      <c r="L71" t="s">
        <v>131</v>
      </c>
      <c r="M71" t="s">
        <v>132</v>
      </c>
      <c r="N71" t="s">
        <v>133</v>
      </c>
      <c r="O71" t="s">
        <v>276</v>
      </c>
      <c r="P71" t="s">
        <v>277</v>
      </c>
    </row>
    <row r="72" spans="1:16" x14ac:dyDescent="0.2">
      <c r="A72">
        <v>18574</v>
      </c>
      <c r="B72">
        <v>504.5</v>
      </c>
      <c r="C72">
        <v>-24.231549999999999</v>
      </c>
      <c r="D72">
        <v>112.36862000000001</v>
      </c>
      <c r="E72" s="3" t="s">
        <v>25</v>
      </c>
      <c r="F72" s="1" t="s">
        <v>134</v>
      </c>
      <c r="G72">
        <v>0.90512744584405824</v>
      </c>
      <c r="H72">
        <v>22.778132474284298</v>
      </c>
      <c r="I72">
        <v>26.007701095117699</v>
      </c>
      <c r="J72">
        <v>31.419850583813702</v>
      </c>
      <c r="K72"/>
      <c r="L72" t="s">
        <v>135</v>
      </c>
      <c r="M72" t="s">
        <v>136</v>
      </c>
      <c r="N72" t="s">
        <v>137</v>
      </c>
      <c r="O72" t="s">
        <v>278</v>
      </c>
      <c r="P72" t="s">
        <v>279</v>
      </c>
    </row>
    <row r="73" spans="1:16" x14ac:dyDescent="0.2">
      <c r="A73">
        <v>18575</v>
      </c>
      <c r="B73">
        <v>1032</v>
      </c>
      <c r="C73">
        <v>-24.231529999999999</v>
      </c>
      <c r="D73">
        <v>111.85302</v>
      </c>
      <c r="E73" s="3" t="s">
        <v>25</v>
      </c>
      <c r="F73" s="1" t="s">
        <v>138</v>
      </c>
      <c r="G73">
        <v>0.88321342472823861</v>
      </c>
      <c r="H73">
        <v>22.027688102920798</v>
      </c>
      <c r="I73">
        <v>25.076201105501401</v>
      </c>
      <c r="J73">
        <v>29.8676098674249</v>
      </c>
      <c r="K73"/>
      <c r="L73" t="s">
        <v>139</v>
      </c>
      <c r="M73" t="s">
        <v>140</v>
      </c>
      <c r="N73" t="s">
        <v>141</v>
      </c>
      <c r="O73" t="s">
        <v>280</v>
      </c>
      <c r="P73" t="s">
        <v>281</v>
      </c>
    </row>
    <row r="74" spans="1:16" x14ac:dyDescent="0.2">
      <c r="A74">
        <v>18576</v>
      </c>
      <c r="B74">
        <v>1725.9</v>
      </c>
      <c r="C74">
        <v>-24.139849999999999</v>
      </c>
      <c r="D74">
        <v>111.34083</v>
      </c>
      <c r="E74" s="3" t="s">
        <v>25</v>
      </c>
      <c r="F74" s="1" t="s">
        <v>142</v>
      </c>
      <c r="G74">
        <v>0.89101924643304931</v>
      </c>
      <c r="H74">
        <v>22.307652442094302</v>
      </c>
      <c r="I74">
        <v>25.390004332590401</v>
      </c>
      <c r="J74">
        <v>30.4757700269964</v>
      </c>
      <c r="K74"/>
      <c r="L74" t="s">
        <v>143</v>
      </c>
      <c r="M74" t="s">
        <v>144</v>
      </c>
      <c r="N74" t="s">
        <v>145</v>
      </c>
      <c r="O74" t="s">
        <v>282</v>
      </c>
      <c r="P74" t="s">
        <v>283</v>
      </c>
    </row>
    <row r="75" spans="1:16" x14ac:dyDescent="0.2">
      <c r="A75">
        <v>18578</v>
      </c>
      <c r="B75">
        <v>1678.9</v>
      </c>
      <c r="C75">
        <v>-25.37097</v>
      </c>
      <c r="D75">
        <v>111.09522</v>
      </c>
      <c r="E75" s="3" t="s">
        <v>25</v>
      </c>
      <c r="F75" s="1" t="s">
        <v>146</v>
      </c>
      <c r="G75">
        <v>0.86228720728323138</v>
      </c>
      <c r="H75">
        <v>21.307718058370501</v>
      </c>
      <c r="I75">
        <v>24.256689060837999</v>
      </c>
      <c r="J75">
        <v>28.421848667740498</v>
      </c>
      <c r="K75"/>
      <c r="L75" t="s">
        <v>147</v>
      </c>
      <c r="M75" t="s">
        <v>148</v>
      </c>
      <c r="N75" t="s">
        <v>149</v>
      </c>
      <c r="O75" t="s">
        <v>284</v>
      </c>
      <c r="P75" t="s">
        <v>285</v>
      </c>
    </row>
    <row r="76" spans="1:16" x14ac:dyDescent="0.2">
      <c r="A76">
        <v>18579</v>
      </c>
      <c r="B76">
        <v>715.1</v>
      </c>
      <c r="C76">
        <v>-25.10155</v>
      </c>
      <c r="D76">
        <v>111.84885</v>
      </c>
      <c r="E76" s="3" t="s">
        <v>25</v>
      </c>
      <c r="F76" s="1" t="s">
        <v>150</v>
      </c>
      <c r="G76">
        <v>0.87820685930326758</v>
      </c>
      <c r="H76">
        <v>21.883739143086999</v>
      </c>
      <c r="I76">
        <v>24.876310785230999</v>
      </c>
      <c r="J76">
        <v>29.542719021335198</v>
      </c>
      <c r="K76"/>
      <c r="L76" t="s">
        <v>151</v>
      </c>
      <c r="M76" t="s">
        <v>152</v>
      </c>
      <c r="N76" t="s">
        <v>153</v>
      </c>
      <c r="O76" t="s">
        <v>286</v>
      </c>
      <c r="P76" t="s">
        <v>287</v>
      </c>
    </row>
    <row r="77" spans="1:16" x14ac:dyDescent="0.2">
      <c r="A77">
        <v>18580</v>
      </c>
      <c r="B77">
        <v>1369.1</v>
      </c>
      <c r="C77">
        <v>-24.568930000000002</v>
      </c>
      <c r="D77">
        <v>111.24592</v>
      </c>
      <c r="E77" s="3" t="s">
        <v>25</v>
      </c>
      <c r="F77" s="1" t="s">
        <v>154</v>
      </c>
      <c r="G77">
        <v>0.87588740820296618</v>
      </c>
      <c r="H77">
        <v>21.821111163608599</v>
      </c>
      <c r="I77">
        <v>24.832114704276002</v>
      </c>
      <c r="J77">
        <v>29.448422497271</v>
      </c>
      <c r="K77"/>
      <c r="L77" t="s">
        <v>155</v>
      </c>
      <c r="M77" t="s">
        <v>156</v>
      </c>
      <c r="N77" t="s">
        <v>157</v>
      </c>
      <c r="O77" t="s">
        <v>288</v>
      </c>
      <c r="P77" t="s">
        <v>289</v>
      </c>
    </row>
    <row r="78" spans="1:16" x14ac:dyDescent="0.2">
      <c r="A78">
        <v>18582</v>
      </c>
      <c r="B78">
        <v>1571.5</v>
      </c>
      <c r="C78">
        <v>-25.898330000000001</v>
      </c>
      <c r="D78">
        <v>111.37203</v>
      </c>
      <c r="E78" s="3" t="s">
        <v>25</v>
      </c>
      <c r="F78" s="1" t="s">
        <v>158</v>
      </c>
      <c r="G78">
        <v>0.85894086915222034</v>
      </c>
      <c r="H78">
        <v>21.2681311587042</v>
      </c>
      <c r="I78">
        <v>24.1760244052271</v>
      </c>
      <c r="J78">
        <v>28.151044758062302</v>
      </c>
      <c r="K78"/>
      <c r="L78" t="s">
        <v>159</v>
      </c>
      <c r="M78" t="s">
        <v>160</v>
      </c>
      <c r="N78" t="s">
        <v>161</v>
      </c>
      <c r="O78" t="s">
        <v>290</v>
      </c>
      <c r="P78" t="s">
        <v>291</v>
      </c>
    </row>
    <row r="79" spans="1:16" s="23" customFormat="1" x14ac:dyDescent="0.2">
      <c r="A79" s="23">
        <v>18584</v>
      </c>
      <c r="B79" s="23">
        <v>1121.0999999999999</v>
      </c>
      <c r="C79" s="23">
        <v>-27.769770000000001</v>
      </c>
      <c r="D79" s="23">
        <v>112.42052</v>
      </c>
      <c r="E79" s="24" t="s">
        <v>25</v>
      </c>
      <c r="F79" s="25" t="s">
        <v>162</v>
      </c>
      <c r="G79" s="23">
        <v>0.85684770845523317</v>
      </c>
      <c r="H79" s="23">
        <v>21.188499231068299</v>
      </c>
      <c r="I79" s="23">
        <v>24.092489536094199</v>
      </c>
      <c r="J79" s="23">
        <v>28.066728688433301</v>
      </c>
      <c r="L79" s="23" t="s">
        <v>163</v>
      </c>
      <c r="M79" s="23" t="s">
        <v>164</v>
      </c>
      <c r="N79" s="23" t="s">
        <v>165</v>
      </c>
      <c r="O79" s="23" t="s">
        <v>292</v>
      </c>
      <c r="P79" s="23" t="s">
        <v>293</v>
      </c>
    </row>
    <row r="80" spans="1:16" s="23" customFormat="1" x14ac:dyDescent="0.2">
      <c r="A80" s="23">
        <v>18585</v>
      </c>
      <c r="B80" s="23">
        <v>1182.7</v>
      </c>
      <c r="C80" s="23">
        <v>-27.255420000000001</v>
      </c>
      <c r="D80" s="23">
        <v>112.03628</v>
      </c>
      <c r="E80" s="24" t="s">
        <v>25</v>
      </c>
      <c r="F80" s="25" t="s">
        <v>166</v>
      </c>
      <c r="G80" s="23">
        <v>0.85702906288781788</v>
      </c>
      <c r="H80" s="23">
        <v>21.1716414774646</v>
      </c>
      <c r="I80" s="23">
        <v>24.0729309429857</v>
      </c>
      <c r="J80" s="23">
        <v>28.1106452559263</v>
      </c>
      <c r="L80" s="23" t="s">
        <v>167</v>
      </c>
      <c r="M80" s="23" t="s">
        <v>168</v>
      </c>
      <c r="N80" s="23" t="s">
        <v>169</v>
      </c>
      <c r="O80" s="23" t="s">
        <v>294</v>
      </c>
      <c r="P80" s="23" t="s">
        <v>295</v>
      </c>
    </row>
    <row r="81" spans="1:16" s="23" customFormat="1" x14ac:dyDescent="0.2">
      <c r="A81" s="23">
        <v>18586</v>
      </c>
      <c r="B81" s="23">
        <v>1014.6</v>
      </c>
      <c r="C81" s="23">
        <v>-28.1418</v>
      </c>
      <c r="D81" s="23">
        <v>112.63387</v>
      </c>
      <c r="E81" s="24" t="s">
        <v>25</v>
      </c>
      <c r="F81" s="25" t="s">
        <v>170</v>
      </c>
      <c r="G81" s="23">
        <v>0.8657665996403987</v>
      </c>
      <c r="H81" s="23">
        <v>21.467523024137598</v>
      </c>
      <c r="I81" s="23">
        <v>24.4144739933853</v>
      </c>
      <c r="J81" s="23">
        <v>28.692100372072701</v>
      </c>
      <c r="L81" s="23" t="s">
        <v>171</v>
      </c>
      <c r="M81" s="23" t="s">
        <v>172</v>
      </c>
      <c r="N81" s="23" t="s">
        <v>173</v>
      </c>
      <c r="O81" s="23" t="s">
        <v>296</v>
      </c>
      <c r="P81" s="23" t="s">
        <v>297</v>
      </c>
    </row>
    <row r="82" spans="1:16" s="23" customFormat="1" x14ac:dyDescent="0.2">
      <c r="A82" s="23">
        <v>18587</v>
      </c>
      <c r="B82" s="23">
        <v>797.8</v>
      </c>
      <c r="C82" s="23">
        <v>-28.12893</v>
      </c>
      <c r="D82" s="23">
        <v>112.93697</v>
      </c>
      <c r="E82" s="24" t="s">
        <v>25</v>
      </c>
      <c r="F82" s="25" t="s">
        <v>174</v>
      </c>
      <c r="G82" s="23">
        <v>0.86381784760300251</v>
      </c>
      <c r="H82" s="23">
        <v>21.401282505650201</v>
      </c>
      <c r="I82" s="23">
        <v>24.361543026747899</v>
      </c>
      <c r="J82" s="23">
        <v>28.6615495134795</v>
      </c>
      <c r="L82" s="23" t="s">
        <v>175</v>
      </c>
      <c r="M82" s="23" t="s">
        <v>176</v>
      </c>
      <c r="N82" s="23" t="s">
        <v>177</v>
      </c>
      <c r="O82" s="23" t="s">
        <v>298</v>
      </c>
      <c r="P82" s="23" t="s">
        <v>299</v>
      </c>
    </row>
    <row r="83" spans="1:16" s="23" customFormat="1" x14ac:dyDescent="0.2">
      <c r="A83" s="23">
        <v>18588</v>
      </c>
      <c r="B83" s="23">
        <v>810.2</v>
      </c>
      <c r="C83" s="23">
        <v>-28.384730000000001</v>
      </c>
      <c r="D83" s="23">
        <v>113.01653</v>
      </c>
      <c r="E83" s="24" t="s">
        <v>25</v>
      </c>
      <c r="F83" s="25" t="s">
        <v>178</v>
      </c>
      <c r="G83" s="23">
        <v>0.9080860582933088</v>
      </c>
      <c r="H83" s="23">
        <v>22.8493096998887</v>
      </c>
      <c r="I83" s="23">
        <v>26.1546381888772</v>
      </c>
      <c r="J83" s="23">
        <v>31.577216906670898</v>
      </c>
      <c r="L83" s="23" t="s">
        <v>179</v>
      </c>
      <c r="M83" s="23" t="s">
        <v>180</v>
      </c>
      <c r="N83" s="23" t="s">
        <v>181</v>
      </c>
      <c r="O83" s="23" t="s">
        <v>300</v>
      </c>
      <c r="P83" s="23" t="s">
        <v>301</v>
      </c>
    </row>
    <row r="84" spans="1:16" s="23" customFormat="1" x14ac:dyDescent="0.2">
      <c r="A84" s="23">
        <v>18589</v>
      </c>
      <c r="B84" s="23">
        <v>2485.8000000000002</v>
      </c>
      <c r="C84" s="23">
        <v>-28.967880000000001</v>
      </c>
      <c r="D84" s="23">
        <v>112.87597</v>
      </c>
      <c r="E84" s="24" t="s">
        <v>25</v>
      </c>
      <c r="F84" s="25" t="s">
        <v>182</v>
      </c>
      <c r="G84" s="23">
        <v>0.87390830775324291</v>
      </c>
      <c r="H84" s="23">
        <v>21.780991044493799</v>
      </c>
      <c r="I84" s="23">
        <v>24.721548659526501</v>
      </c>
      <c r="J84" s="23">
        <v>29.220125146661399</v>
      </c>
      <c r="L84" s="23" t="s">
        <v>183</v>
      </c>
      <c r="M84" s="23" t="s">
        <v>184</v>
      </c>
      <c r="N84" s="23" t="s">
        <v>185</v>
      </c>
      <c r="O84" s="23" t="s">
        <v>302</v>
      </c>
      <c r="P84" s="23" t="s">
        <v>303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FBA4-9355-7F40-B75C-96E61D3F8E33}">
  <dimension ref="A1:S20"/>
  <sheetViews>
    <sheetView workbookViewId="0">
      <selection activeCell="E39" sqref="E39"/>
    </sheetView>
  </sheetViews>
  <sheetFormatPr baseColWidth="10" defaultRowHeight="16" x14ac:dyDescent="0.2"/>
  <sheetData>
    <row r="1" spans="1:19" x14ac:dyDescent="0.2">
      <c r="A1" t="s">
        <v>187</v>
      </c>
      <c r="B1" t="s">
        <v>23</v>
      </c>
      <c r="C1" t="s">
        <v>188</v>
      </c>
      <c r="D1" t="s">
        <v>189</v>
      </c>
      <c r="E1" t="s">
        <v>2</v>
      </c>
      <c r="F1" t="s">
        <v>3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24</v>
      </c>
      <c r="O1" t="s">
        <v>197</v>
      </c>
      <c r="P1" t="s">
        <v>198</v>
      </c>
      <c r="Q1" t="s">
        <v>199</v>
      </c>
      <c r="R1" t="s">
        <v>200</v>
      </c>
      <c r="S1" t="s">
        <v>201</v>
      </c>
    </row>
    <row r="2" spans="1:19" x14ac:dyDescent="0.2">
      <c r="A2" t="s">
        <v>202</v>
      </c>
      <c r="B2">
        <v>18547</v>
      </c>
      <c r="C2" t="s">
        <v>203</v>
      </c>
      <c r="D2" t="s">
        <v>204</v>
      </c>
      <c r="E2">
        <v>-15.135</v>
      </c>
      <c r="F2">
        <v>120.482</v>
      </c>
      <c r="G2">
        <v>0</v>
      </c>
      <c r="H2">
        <v>0.01</v>
      </c>
      <c r="I2">
        <v>5.0000000000000001E-3</v>
      </c>
      <c r="J2" t="s">
        <v>205</v>
      </c>
      <c r="K2">
        <v>-1462.1</v>
      </c>
      <c r="L2" s="5">
        <v>42869</v>
      </c>
      <c r="M2" t="s">
        <v>206</v>
      </c>
      <c r="N2">
        <v>0.98069835900000002</v>
      </c>
      <c r="O2">
        <v>0.90582589899999999</v>
      </c>
      <c r="P2">
        <v>0.96322145599999998</v>
      </c>
      <c r="R2">
        <v>0.483126956</v>
      </c>
      <c r="S2">
        <v>1.2815543030000001</v>
      </c>
    </row>
    <row r="3" spans="1:19" x14ac:dyDescent="0.2">
      <c r="A3" t="s">
        <v>207</v>
      </c>
      <c r="B3">
        <v>18548</v>
      </c>
      <c r="C3" t="s">
        <v>203</v>
      </c>
      <c r="D3" t="s">
        <v>204</v>
      </c>
      <c r="E3">
        <v>-15.215299999999999</v>
      </c>
      <c r="F3">
        <v>120.533</v>
      </c>
      <c r="G3">
        <v>0</v>
      </c>
      <c r="H3">
        <v>0.01</v>
      </c>
      <c r="I3">
        <v>5.0000000000000001E-3</v>
      </c>
      <c r="J3" t="s">
        <v>205</v>
      </c>
      <c r="K3">
        <v>-1627.2</v>
      </c>
      <c r="L3" s="5">
        <v>42870</v>
      </c>
      <c r="M3" t="s">
        <v>206</v>
      </c>
      <c r="N3">
        <v>0.98784130800000003</v>
      </c>
      <c r="O3">
        <v>0.94061315300000004</v>
      </c>
      <c r="P3">
        <v>0.99380185499999996</v>
      </c>
      <c r="R3">
        <v>0.58499749000000001</v>
      </c>
      <c r="S3">
        <v>1.219802294</v>
      </c>
    </row>
    <row r="4" spans="1:19" x14ac:dyDescent="0.2">
      <c r="A4" t="s">
        <v>208</v>
      </c>
      <c r="B4">
        <v>18550</v>
      </c>
      <c r="C4" t="s">
        <v>203</v>
      </c>
      <c r="D4" t="s">
        <v>204</v>
      </c>
      <c r="E4">
        <v>-17.0044</v>
      </c>
      <c r="F4">
        <v>118.86799999999999</v>
      </c>
      <c r="G4">
        <v>0</v>
      </c>
      <c r="H4">
        <v>0.01</v>
      </c>
      <c r="I4">
        <v>5.0000000000000001E-3</v>
      </c>
      <c r="J4" t="s">
        <v>205</v>
      </c>
      <c r="K4">
        <v>-1388.5</v>
      </c>
      <c r="L4" s="5">
        <v>42871</v>
      </c>
      <c r="M4" t="s">
        <v>206</v>
      </c>
      <c r="N4">
        <v>0.97898361599999995</v>
      </c>
      <c r="O4">
        <v>0.87749554299999999</v>
      </c>
      <c r="P4">
        <v>0.995521934</v>
      </c>
      <c r="R4">
        <v>0.505938836</v>
      </c>
      <c r="S4">
        <v>1.2649030219999999</v>
      </c>
    </row>
    <row r="5" spans="1:19" x14ac:dyDescent="0.2">
      <c r="A5" t="s">
        <v>209</v>
      </c>
      <c r="B5">
        <v>18551</v>
      </c>
      <c r="C5" t="s">
        <v>203</v>
      </c>
      <c r="D5" t="s">
        <v>204</v>
      </c>
      <c r="E5">
        <v>-17.720300000000002</v>
      </c>
      <c r="F5">
        <v>118.64100000000001</v>
      </c>
      <c r="G5">
        <v>0</v>
      </c>
      <c r="H5">
        <v>0.01</v>
      </c>
      <c r="I5">
        <v>5.0000000000000001E-3</v>
      </c>
      <c r="J5" t="s">
        <v>205</v>
      </c>
      <c r="K5">
        <v>-668.5</v>
      </c>
      <c r="L5" s="5">
        <v>42872</v>
      </c>
      <c r="M5" t="s">
        <v>206</v>
      </c>
      <c r="N5">
        <v>0.98876887300000005</v>
      </c>
      <c r="O5">
        <v>0.95211145500000005</v>
      </c>
      <c r="P5">
        <v>0.97947549499999997</v>
      </c>
      <c r="R5">
        <v>0.45188803700000002</v>
      </c>
      <c r="S5">
        <v>1.259602288</v>
      </c>
    </row>
    <row r="6" spans="1:19" x14ac:dyDescent="0.2">
      <c r="A6" t="s">
        <v>210</v>
      </c>
      <c r="B6">
        <v>18552</v>
      </c>
      <c r="C6" t="s">
        <v>203</v>
      </c>
      <c r="D6" t="s">
        <v>204</v>
      </c>
      <c r="E6">
        <v>-17.8217</v>
      </c>
      <c r="F6">
        <v>117.861</v>
      </c>
      <c r="G6">
        <v>0</v>
      </c>
      <c r="H6">
        <v>0.01</v>
      </c>
      <c r="I6">
        <v>5.0000000000000001E-3</v>
      </c>
      <c r="J6" t="s">
        <v>205</v>
      </c>
      <c r="K6">
        <v>-1952</v>
      </c>
      <c r="L6" s="5">
        <v>42873</v>
      </c>
      <c r="M6" t="s">
        <v>206</v>
      </c>
      <c r="N6">
        <v>0.98233022000000003</v>
      </c>
      <c r="O6">
        <v>0.94801171799999995</v>
      </c>
      <c r="P6">
        <v>0.99481508500000004</v>
      </c>
      <c r="R6">
        <v>0.47865499900000003</v>
      </c>
      <c r="S6">
        <v>1.29605042</v>
      </c>
    </row>
    <row r="7" spans="1:19" x14ac:dyDescent="0.2">
      <c r="A7" t="s">
        <v>211</v>
      </c>
      <c r="B7">
        <v>18554</v>
      </c>
      <c r="C7" t="s">
        <v>203</v>
      </c>
      <c r="D7" t="s">
        <v>204</v>
      </c>
      <c r="E7">
        <v>-18.793600000000001</v>
      </c>
      <c r="F7">
        <v>117.619</v>
      </c>
      <c r="G7">
        <v>0</v>
      </c>
      <c r="H7">
        <v>0.01</v>
      </c>
      <c r="I7">
        <v>5.0000000000000001E-3</v>
      </c>
      <c r="J7" t="s">
        <v>205</v>
      </c>
      <c r="K7">
        <v>-498.8</v>
      </c>
      <c r="L7" s="5">
        <v>42874</v>
      </c>
      <c r="M7" t="s">
        <v>206</v>
      </c>
      <c r="N7">
        <v>0.98754138800000002</v>
      </c>
      <c r="O7">
        <v>0.94633013399999999</v>
      </c>
      <c r="P7">
        <v>0.97553659500000001</v>
      </c>
      <c r="R7">
        <v>0.45297647200000002</v>
      </c>
      <c r="S7">
        <v>1.2404920150000001</v>
      </c>
    </row>
    <row r="8" spans="1:19" x14ac:dyDescent="0.2">
      <c r="A8" t="s">
        <v>212</v>
      </c>
      <c r="B8">
        <v>18555</v>
      </c>
      <c r="C8" t="s">
        <v>203</v>
      </c>
      <c r="D8" t="s">
        <v>204</v>
      </c>
      <c r="E8">
        <v>-18.363900000000001</v>
      </c>
      <c r="F8">
        <v>117.35</v>
      </c>
      <c r="G8">
        <v>0</v>
      </c>
      <c r="H8">
        <v>0.01</v>
      </c>
      <c r="I8">
        <v>5.0000000000000001E-3</v>
      </c>
      <c r="J8" t="s">
        <v>205</v>
      </c>
      <c r="K8">
        <v>-1113.0999999999999</v>
      </c>
      <c r="L8" s="5">
        <v>42874</v>
      </c>
      <c r="M8" t="s">
        <v>206</v>
      </c>
      <c r="N8">
        <v>0.93977735399999995</v>
      </c>
      <c r="O8">
        <v>0.82215472000000001</v>
      </c>
      <c r="P8">
        <v>0.98684918300000002</v>
      </c>
      <c r="R8">
        <v>0.48686289399999999</v>
      </c>
      <c r="S8">
        <v>1.1476760749999999</v>
      </c>
    </row>
    <row r="9" spans="1:19" x14ac:dyDescent="0.2">
      <c r="A9" t="s">
        <v>213</v>
      </c>
      <c r="B9">
        <v>18556</v>
      </c>
      <c r="C9" t="s">
        <v>203</v>
      </c>
      <c r="D9" t="s">
        <v>204</v>
      </c>
      <c r="E9">
        <v>-19.8294</v>
      </c>
      <c r="F9">
        <v>113.976</v>
      </c>
      <c r="G9">
        <v>0</v>
      </c>
      <c r="H9">
        <v>0.01</v>
      </c>
      <c r="I9">
        <v>5.0000000000000001E-3</v>
      </c>
      <c r="J9" t="s">
        <v>205</v>
      </c>
      <c r="K9">
        <v>-1842.2</v>
      </c>
      <c r="L9" s="5">
        <v>42874</v>
      </c>
      <c r="M9" t="s">
        <v>206</v>
      </c>
      <c r="N9">
        <v>0.97639193199999996</v>
      </c>
      <c r="O9">
        <v>0.90918094000000005</v>
      </c>
      <c r="P9">
        <v>0.98747226499999996</v>
      </c>
      <c r="R9">
        <v>0.50292372100000005</v>
      </c>
      <c r="S9">
        <v>1.27941547</v>
      </c>
    </row>
    <row r="10" spans="1:19" x14ac:dyDescent="0.2">
      <c r="A10" t="s">
        <v>214</v>
      </c>
      <c r="B10">
        <v>18557</v>
      </c>
      <c r="C10" t="s">
        <v>203</v>
      </c>
      <c r="D10" t="s">
        <v>204</v>
      </c>
      <c r="E10">
        <v>-17.7728</v>
      </c>
      <c r="F10">
        <v>117.336</v>
      </c>
      <c r="G10">
        <v>0</v>
      </c>
      <c r="H10">
        <v>0.01</v>
      </c>
      <c r="I10">
        <v>5.0000000000000001E-3</v>
      </c>
      <c r="J10" t="s">
        <v>205</v>
      </c>
      <c r="K10">
        <v>-2405.5</v>
      </c>
      <c r="L10" s="5">
        <v>42875</v>
      </c>
      <c r="M10" t="s">
        <v>206</v>
      </c>
      <c r="N10">
        <v>0.94030209600000003</v>
      </c>
      <c r="O10">
        <v>0.88678917999999995</v>
      </c>
      <c r="P10">
        <v>0.96080624000000003</v>
      </c>
      <c r="R10">
        <v>0.457091315</v>
      </c>
      <c r="S10">
        <v>0.997332828</v>
      </c>
    </row>
    <row r="11" spans="1:19" x14ac:dyDescent="0.2">
      <c r="A11" t="s">
        <v>215</v>
      </c>
      <c r="B11">
        <v>18559</v>
      </c>
      <c r="C11" t="s">
        <v>203</v>
      </c>
      <c r="D11" t="s">
        <v>204</v>
      </c>
      <c r="E11">
        <v>-18.084399999999999</v>
      </c>
      <c r="F11">
        <v>115.273</v>
      </c>
      <c r="G11">
        <v>0</v>
      </c>
      <c r="H11">
        <v>0.01</v>
      </c>
      <c r="I11">
        <v>5.0000000000000001E-3</v>
      </c>
      <c r="J11" t="s">
        <v>205</v>
      </c>
      <c r="K11">
        <v>-1975.7</v>
      </c>
      <c r="L11" s="5">
        <v>42876</v>
      </c>
      <c r="M11" t="s">
        <v>206</v>
      </c>
      <c r="N11">
        <v>0.95402966600000005</v>
      </c>
      <c r="O11">
        <v>0.91567532100000004</v>
      </c>
      <c r="P11">
        <v>0.98096025799999997</v>
      </c>
      <c r="R11">
        <v>0.52486376999999995</v>
      </c>
      <c r="S11">
        <v>1.285380688</v>
      </c>
    </row>
    <row r="12" spans="1:19" x14ac:dyDescent="0.2">
      <c r="A12" t="s">
        <v>216</v>
      </c>
      <c r="B12">
        <v>18561</v>
      </c>
      <c r="C12" t="s">
        <v>203</v>
      </c>
      <c r="D12" t="s">
        <v>204</v>
      </c>
      <c r="E12">
        <v>-19.386900000000001</v>
      </c>
      <c r="F12">
        <v>115.64700000000001</v>
      </c>
      <c r="G12">
        <v>0</v>
      </c>
      <c r="H12">
        <v>0.01</v>
      </c>
      <c r="I12">
        <v>5.0000000000000001E-3</v>
      </c>
      <c r="J12" t="s">
        <v>205</v>
      </c>
      <c r="K12">
        <v>-1186.7</v>
      </c>
      <c r="L12" s="5">
        <v>42877</v>
      </c>
      <c r="M12" t="s">
        <v>206</v>
      </c>
      <c r="N12">
        <v>0.94199437699999999</v>
      </c>
      <c r="O12">
        <v>0.92314479999999999</v>
      </c>
      <c r="P12">
        <v>0.97388435799999995</v>
      </c>
      <c r="R12">
        <v>0.53346133600000001</v>
      </c>
      <c r="S12">
        <v>1.138720051</v>
      </c>
    </row>
    <row r="13" spans="1:19" x14ac:dyDescent="0.2">
      <c r="A13" t="s">
        <v>217</v>
      </c>
      <c r="B13">
        <v>18562</v>
      </c>
      <c r="C13" t="s">
        <v>203</v>
      </c>
      <c r="D13" t="s">
        <v>204</v>
      </c>
      <c r="E13">
        <v>-19.416899999999998</v>
      </c>
      <c r="F13">
        <v>114.35599999999999</v>
      </c>
      <c r="G13">
        <v>0</v>
      </c>
      <c r="H13">
        <v>0.01</v>
      </c>
      <c r="I13">
        <v>5.0000000000000001E-3</v>
      </c>
      <c r="J13" t="s">
        <v>205</v>
      </c>
      <c r="K13">
        <v>-1302.0999999999999</v>
      </c>
      <c r="L13" s="5">
        <v>42878</v>
      </c>
      <c r="M13" t="s">
        <v>206</v>
      </c>
      <c r="N13">
        <v>0.97445436100000005</v>
      </c>
      <c r="O13">
        <v>0.95982663499999998</v>
      </c>
      <c r="P13">
        <v>0.988494596</v>
      </c>
      <c r="R13">
        <v>0.498591283</v>
      </c>
      <c r="S13">
        <v>1.262700224</v>
      </c>
    </row>
    <row r="14" spans="1:19" x14ac:dyDescent="0.2">
      <c r="A14" t="s">
        <v>218</v>
      </c>
      <c r="B14">
        <v>18566</v>
      </c>
      <c r="C14" t="s">
        <v>203</v>
      </c>
      <c r="D14" t="s">
        <v>204</v>
      </c>
      <c r="E14">
        <v>-19.8294</v>
      </c>
      <c r="F14">
        <v>113.976</v>
      </c>
      <c r="G14">
        <v>0</v>
      </c>
      <c r="H14">
        <v>0.01</v>
      </c>
      <c r="I14">
        <v>5.0000000000000001E-3</v>
      </c>
      <c r="J14" t="s">
        <v>205</v>
      </c>
      <c r="K14">
        <v>-1134.3</v>
      </c>
      <c r="L14" s="5">
        <v>42879</v>
      </c>
      <c r="M14" t="s">
        <v>206</v>
      </c>
      <c r="N14">
        <v>0.92368258199999997</v>
      </c>
      <c r="O14">
        <v>0.846566398</v>
      </c>
      <c r="P14">
        <v>0.949672501</v>
      </c>
      <c r="R14">
        <v>0.62674237099999996</v>
      </c>
      <c r="S14">
        <v>1.213162954</v>
      </c>
    </row>
    <row r="15" spans="1:19" x14ac:dyDescent="0.2">
      <c r="A15" t="s">
        <v>219</v>
      </c>
      <c r="B15">
        <v>18568</v>
      </c>
      <c r="C15" t="s">
        <v>203</v>
      </c>
      <c r="D15" t="s">
        <v>204</v>
      </c>
      <c r="E15">
        <v>-20.761099999999999</v>
      </c>
      <c r="F15">
        <v>113.745</v>
      </c>
      <c r="G15">
        <v>0</v>
      </c>
      <c r="H15">
        <v>0.01</v>
      </c>
      <c r="I15">
        <v>5.0000000000000001E-3</v>
      </c>
      <c r="J15" t="s">
        <v>205</v>
      </c>
      <c r="K15">
        <v>-1100.5999999999999</v>
      </c>
      <c r="L15" s="5">
        <v>42880</v>
      </c>
      <c r="M15" t="s">
        <v>206</v>
      </c>
      <c r="N15">
        <v>0.94894180800000005</v>
      </c>
      <c r="O15">
        <v>0.91188155999999998</v>
      </c>
      <c r="R15">
        <v>0.56363101999999998</v>
      </c>
      <c r="S15">
        <v>1.259833279</v>
      </c>
    </row>
    <row r="16" spans="1:19" x14ac:dyDescent="0.2">
      <c r="A16" t="s">
        <v>220</v>
      </c>
      <c r="B16">
        <v>18570</v>
      </c>
      <c r="C16" t="s">
        <v>203</v>
      </c>
      <c r="D16" t="s">
        <v>204</v>
      </c>
      <c r="E16">
        <v>-21.113299999999999</v>
      </c>
      <c r="F16">
        <v>113.68600000000001</v>
      </c>
      <c r="G16">
        <v>0</v>
      </c>
      <c r="H16">
        <v>0.01</v>
      </c>
      <c r="I16">
        <v>5.0000000000000001E-3</v>
      </c>
      <c r="J16" t="s">
        <v>205</v>
      </c>
      <c r="K16">
        <v>-1183.7</v>
      </c>
      <c r="L16" s="5">
        <v>42881</v>
      </c>
      <c r="M16" t="s">
        <v>206</v>
      </c>
      <c r="N16">
        <v>0.97242392600000005</v>
      </c>
      <c r="O16">
        <v>0.91542146700000004</v>
      </c>
      <c r="P16">
        <v>0.98820167800000003</v>
      </c>
      <c r="R16">
        <v>0.54112617799999996</v>
      </c>
      <c r="S16">
        <v>1.249725824</v>
      </c>
    </row>
    <row r="17" spans="1:19" x14ac:dyDescent="0.2">
      <c r="A17" t="s">
        <v>221</v>
      </c>
      <c r="B17">
        <v>18571</v>
      </c>
      <c r="C17" t="s">
        <v>203</v>
      </c>
      <c r="D17" t="s">
        <v>204</v>
      </c>
      <c r="E17">
        <v>-22.287199999999999</v>
      </c>
      <c r="F17">
        <v>113.67100000000001</v>
      </c>
      <c r="G17">
        <v>0</v>
      </c>
      <c r="H17">
        <v>0.01</v>
      </c>
      <c r="I17">
        <v>5.0000000000000001E-3</v>
      </c>
      <c r="J17" t="s">
        <v>205</v>
      </c>
      <c r="K17">
        <v>-1050.5</v>
      </c>
      <c r="L17" s="5">
        <v>42881</v>
      </c>
      <c r="M17" t="s">
        <v>206</v>
      </c>
      <c r="N17">
        <v>0.95716227799999998</v>
      </c>
      <c r="O17">
        <v>0.85480391499999997</v>
      </c>
      <c r="P17">
        <v>0.98106026400000002</v>
      </c>
      <c r="R17">
        <v>0.41695593199999997</v>
      </c>
      <c r="S17">
        <v>1.0006887010000001</v>
      </c>
    </row>
    <row r="18" spans="1:19" x14ac:dyDescent="0.2">
      <c r="A18" t="s">
        <v>222</v>
      </c>
      <c r="B18">
        <v>18573</v>
      </c>
      <c r="C18" t="s">
        <v>203</v>
      </c>
      <c r="D18" t="s">
        <v>204</v>
      </c>
      <c r="E18">
        <v>-22.685300000000002</v>
      </c>
      <c r="F18">
        <v>112.89100000000001</v>
      </c>
      <c r="G18">
        <v>0</v>
      </c>
      <c r="H18">
        <v>0.01</v>
      </c>
      <c r="I18">
        <v>5.0000000000000001E-3</v>
      </c>
      <c r="J18" t="s">
        <v>205</v>
      </c>
      <c r="K18">
        <v>-1249.0999999999999</v>
      </c>
      <c r="L18" s="5">
        <v>42881</v>
      </c>
      <c r="M18" t="s">
        <v>206</v>
      </c>
      <c r="N18">
        <v>0.95090576299999996</v>
      </c>
      <c r="O18">
        <v>0.90202962200000003</v>
      </c>
      <c r="P18">
        <v>0.97929677199999998</v>
      </c>
      <c r="R18">
        <v>0.56845009499999999</v>
      </c>
      <c r="S18">
        <v>1.3349498280000001</v>
      </c>
    </row>
    <row r="19" spans="1:19" x14ac:dyDescent="0.2">
      <c r="A19" t="s">
        <v>223</v>
      </c>
      <c r="B19">
        <v>18582</v>
      </c>
      <c r="C19" t="s">
        <v>203</v>
      </c>
      <c r="D19" t="s">
        <v>204</v>
      </c>
      <c r="E19">
        <v>-26.132200000000001</v>
      </c>
      <c r="F19">
        <v>111.45699999999999</v>
      </c>
      <c r="G19">
        <v>0</v>
      </c>
      <c r="H19">
        <v>0.01</v>
      </c>
      <c r="I19">
        <v>5.0000000000000001E-3</v>
      </c>
      <c r="J19" t="s">
        <v>205</v>
      </c>
      <c r="K19">
        <v>-1588</v>
      </c>
      <c r="L19" s="5">
        <v>42885</v>
      </c>
      <c r="M19" t="s">
        <v>206</v>
      </c>
      <c r="N19">
        <v>0.88755531600000004</v>
      </c>
      <c r="O19">
        <v>0.80748328300000005</v>
      </c>
      <c r="P19">
        <v>0.91854287599999995</v>
      </c>
      <c r="R19">
        <v>0.41745259299999998</v>
      </c>
      <c r="S19">
        <v>0.87943958</v>
      </c>
    </row>
    <row r="20" spans="1:19" x14ac:dyDescent="0.2">
      <c r="A20" t="s">
        <v>224</v>
      </c>
      <c r="B20">
        <v>18585</v>
      </c>
      <c r="C20" t="s">
        <v>203</v>
      </c>
      <c r="D20" t="s">
        <v>204</v>
      </c>
      <c r="E20">
        <v>-27.352499999999999</v>
      </c>
      <c r="F20">
        <v>112.092</v>
      </c>
      <c r="G20">
        <v>0</v>
      </c>
      <c r="H20">
        <v>0.01</v>
      </c>
      <c r="I20">
        <v>5.0000000000000001E-3</v>
      </c>
      <c r="J20" t="s">
        <v>205</v>
      </c>
      <c r="K20">
        <v>-1183.5</v>
      </c>
      <c r="L20" s="5">
        <v>42886</v>
      </c>
      <c r="M20" t="s">
        <v>225</v>
      </c>
      <c r="N20">
        <v>0.84691851399999996</v>
      </c>
      <c r="O20">
        <v>0.80178624399999998</v>
      </c>
      <c r="P20">
        <v>0.95035415400000001</v>
      </c>
      <c r="R20">
        <v>0.461159757</v>
      </c>
      <c r="S20">
        <v>1.03444483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CoreTop_Tex86</vt:lpstr>
      <vt:lpstr>Tex86_0-2cm</vt:lpstr>
      <vt:lpstr>CoreTop_Uk37</vt:lpstr>
      <vt:lpstr>Uk37_0-2cm</vt:lpstr>
      <vt:lpstr>Novak2022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Trang - (trang129)</dc:creator>
  <cp:lastModifiedBy>Tran, Trang - (trang129)</cp:lastModifiedBy>
  <dcterms:created xsi:type="dcterms:W3CDTF">2025-02-26T17:45:37Z</dcterms:created>
  <dcterms:modified xsi:type="dcterms:W3CDTF">2025-03-04T21:22:45Z</dcterms:modified>
</cp:coreProperties>
</file>