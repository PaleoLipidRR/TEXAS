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jiangzhu/home/GoogleDriveUMich/My Drive/research/PETM_Clim_Sens/ScienceAdvances/"/>
    </mc:Choice>
  </mc:AlternateContent>
  <xr:revisionPtr revIDLastSave="0" documentId="13_ncr:1_{A918898F-166B-5A47-96DA-D5D511789BAF}" xr6:coauthVersionLast="43" xr6:coauthVersionMax="43" xr10:uidLastSave="{00000000-0000-0000-0000-000000000000}"/>
  <bookViews>
    <workbookView xWindow="0" yWindow="460" windowWidth="38400" windowHeight="21140" tabRatio="500" xr2:uid="{00000000-000D-0000-FFFF-FFFF00000000}"/>
  </bookViews>
  <sheets>
    <sheet name="SST_Eocene" sheetId="1" r:id="rId1"/>
    <sheet name="SST_PETM" sheetId="3" r:id="rId2"/>
    <sheet name="SST_prePETM" sheetId="4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4" i="4" l="1"/>
  <c r="B24" i="4"/>
  <c r="C28" i="3"/>
  <c r="B28" i="3"/>
  <c r="B23" i="3"/>
  <c r="C23" i="3"/>
  <c r="B7" i="4"/>
  <c r="C7" i="4"/>
  <c r="B3" i="4"/>
  <c r="C3" i="4"/>
  <c r="B9" i="3"/>
  <c r="C9" i="3"/>
  <c r="B8" i="3"/>
  <c r="B7" i="3"/>
  <c r="C7" i="3"/>
  <c r="B3" i="3"/>
  <c r="C3" i="3"/>
  <c r="B15" i="1"/>
  <c r="B17" i="1"/>
  <c r="C17" i="1"/>
  <c r="B11" i="1"/>
  <c r="B24" i="1"/>
  <c r="C24" i="1"/>
  <c r="B23" i="1"/>
  <c r="C23" i="1"/>
  <c r="B20" i="1"/>
  <c r="C20" i="1"/>
</calcChain>
</file>

<file path=xl/sharedStrings.xml><?xml version="1.0" encoding="utf-8"?>
<sst xmlns="http://schemas.openxmlformats.org/spreadsheetml/2006/main" count="352" uniqueCount="140">
  <si>
    <t>Site</t>
  </si>
  <si>
    <t>Latitude</t>
  </si>
  <si>
    <t>Longitude</t>
  </si>
  <si>
    <t>Type</t>
  </si>
  <si>
    <t>Raw_value</t>
  </si>
  <si>
    <t>Types: 1 = d18O, 2 = Mg/Ca, 3 = TEX86, 4 = D47</t>
  </si>
  <si>
    <t>ODP 690B</t>
  </si>
  <si>
    <t>Wilkes Land U1356A</t>
  </si>
  <si>
    <t>Source</t>
  </si>
  <si>
    <t>Evans18</t>
  </si>
  <si>
    <t>SST</t>
  </si>
  <si>
    <t>lowerE</t>
  </si>
  <si>
    <t>upperE</t>
  </si>
  <si>
    <t>ODP 1209</t>
  </si>
  <si>
    <t>Notes</t>
  </si>
  <si>
    <t>DSDP 527</t>
  </si>
  <si>
    <t>Tripati04 Evans18</t>
  </si>
  <si>
    <t>Bornemann14 Evans18</t>
  </si>
  <si>
    <t>DSDP 401</t>
  </si>
  <si>
    <t>ODP 865</t>
  </si>
  <si>
    <t>Tripati03 Evans18</t>
  </si>
  <si>
    <t>Hollis09 Creech10 Evans18</t>
  </si>
  <si>
    <t>4.7 is the quoted average Paleogene uncertainty for Mg/Ca in Evans18</t>
  </si>
  <si>
    <t>Frieling17 Evans18</t>
  </si>
  <si>
    <t>Hines17 Evans18</t>
  </si>
  <si>
    <t>Tawanui NZ</t>
  </si>
  <si>
    <t>Tora NZ</t>
  </si>
  <si>
    <t>Hampden Beach</t>
  </si>
  <si>
    <t>DSDP 277</t>
  </si>
  <si>
    <t>KeatingBitonti11</t>
  </si>
  <si>
    <t>Hatchitigbee Bluff</t>
  </si>
  <si>
    <t>Kutch India K98.3</t>
  </si>
  <si>
    <t>Egem Belgium EF2</t>
  </si>
  <si>
    <t>Egem Belgium EF1</t>
  </si>
  <si>
    <t>Kutch India K136.4</t>
  </si>
  <si>
    <t>Kutch India K/N-06/5</t>
  </si>
  <si>
    <t>South Dover Bridge</t>
  </si>
  <si>
    <t>ODP 959</t>
  </si>
  <si>
    <t>Cramwinckel18 Frieling18</t>
  </si>
  <si>
    <t>Western Siberian Seaway</t>
  </si>
  <si>
    <t>ODP 1172</t>
  </si>
  <si>
    <t>ODP 929</t>
  </si>
  <si>
    <t>ACEX</t>
  </si>
  <si>
    <t>Bass River</t>
  </si>
  <si>
    <t>Wilson Lake</t>
  </si>
  <si>
    <t>Fur Section (North Sea)</t>
  </si>
  <si>
    <t>Store Baelt Section (North Sea)</t>
  </si>
  <si>
    <t>Harrell Core (Gulf Coastal Plain)</t>
  </si>
  <si>
    <t xml:space="preserve">Western Siberian Seaway </t>
  </si>
  <si>
    <t>Nigeria SQ</t>
  </si>
  <si>
    <t>Frieling18</t>
  </si>
  <si>
    <t>Harrell Core</t>
  </si>
  <si>
    <t>John08</t>
  </si>
  <si>
    <t>Babila16</t>
  </si>
  <si>
    <t>Aze14</t>
  </si>
  <si>
    <t>Frieling17</t>
  </si>
  <si>
    <t>ODP 738</t>
  </si>
  <si>
    <t>BarreraHuber91 LuKeller93</t>
  </si>
  <si>
    <t>Stott90</t>
  </si>
  <si>
    <t>Hollis15</t>
  </si>
  <si>
    <t>Hollis12</t>
  </si>
  <si>
    <t>Hollis09 Hollis12 Inglis15</t>
  </si>
  <si>
    <t>doi1</t>
  </si>
  <si>
    <t>doi2</t>
  </si>
  <si>
    <t>doi3</t>
  </si>
  <si>
    <t>https://doi.org/10.1016/j.epsl.2012.06.024</t>
  </si>
  <si>
    <t>https://doi.org/10.1130/G25200A.1</t>
  </si>
  <si>
    <t>https://doi.org/10.1002/2014PA002723</t>
  </si>
  <si>
    <t>https://doi.org/10.1016/j.epsl.2010.09.039</t>
  </si>
  <si>
    <t>https://doi.org/10.1073/pnas.1714744115</t>
  </si>
  <si>
    <t>https://doi.org/10.1029/2003PA000937</t>
  </si>
  <si>
    <t>https://doi.org/10.1016/j.palaeo.2017.02.037</t>
  </si>
  <si>
    <t>Bijl13</t>
  </si>
  <si>
    <t>https://doi.org/10.1073/pnas.1220872110</t>
  </si>
  <si>
    <t>Inglis15</t>
  </si>
  <si>
    <t>Frieling14</t>
  </si>
  <si>
    <t>https://doi.org/10.1130/G35724.1</t>
  </si>
  <si>
    <t>https://doi.org/10.1038/nature08399</t>
  </si>
  <si>
    <t>https://doi.org/10.5194/cp-7-47-2011</t>
  </si>
  <si>
    <t>https://doi.org/10.1130/G32054.1</t>
  </si>
  <si>
    <t>https://doi.org/10.1130/G23175A.1</t>
  </si>
  <si>
    <t>Pearson07</t>
  </si>
  <si>
    <t>Sluijs06</t>
  </si>
  <si>
    <t>https://doi.org/10.1038/nature04668</t>
  </si>
  <si>
    <t>https://doi.org/10.5194/cp-14-39-2018</t>
  </si>
  <si>
    <t>https://doi.org/10.1038/s41586-018-0272-2</t>
  </si>
  <si>
    <t>https://doi.org/10.1130/G35637.1</t>
  </si>
  <si>
    <t>https://doi.org/10.5194/cp-11-1009-2015</t>
  </si>
  <si>
    <t>https://doi.org/10.2973/odp.proc.sr.113.187.1990</t>
  </si>
  <si>
    <t>https://doi.org/10.2973/odp.proc.sr.119.167.1991</t>
  </si>
  <si>
    <t>https://doi.org/10.1016/0377-8398(93)90012-M</t>
  </si>
  <si>
    <t>Tanzania TDP3</t>
  </si>
  <si>
    <t>Tanzania TDP14</t>
  </si>
  <si>
    <t>Sluijs07</t>
  </si>
  <si>
    <t>https://doi.org/10.1038/nature06400</t>
  </si>
  <si>
    <t>https://doi.org/10.1130/G37522.1</t>
  </si>
  <si>
    <t>https://doi.org/10.1029/2007PA001465</t>
  </si>
  <si>
    <t>Zachos06</t>
  </si>
  <si>
    <t>https://doi.org/10.1130/G22522.1</t>
  </si>
  <si>
    <t>Zachos06 Hollis12</t>
  </si>
  <si>
    <t>Bijl09</t>
  </si>
  <si>
    <t>Sluijs11</t>
  </si>
  <si>
    <t>Schoon15</t>
  </si>
  <si>
    <t>https://doi.org/10.1016/j.orggeochem.2014.11.003</t>
  </si>
  <si>
    <t>https://doi.org/10.5194/cp-10-1421-2014</t>
  </si>
  <si>
    <t>Sluijs14</t>
  </si>
  <si>
    <t>https://doi.org/10.1126/sciadv.1600891</t>
  </si>
  <si>
    <t>Cramwinckel18</t>
  </si>
  <si>
    <t>notes</t>
  </si>
  <si>
    <t>https://doi.org/10.1029/2003GC000631</t>
  </si>
  <si>
    <t>https://doi.org/10.1016/j.epsl.2014.03.017</t>
  </si>
  <si>
    <t>Zachos03</t>
  </si>
  <si>
    <t>https://doi.org/10.1126/science.1090110</t>
  </si>
  <si>
    <t>Paleolat_herold</t>
  </si>
  <si>
    <t>Paleolon_herold</t>
  </si>
  <si>
    <t>Kozdon11</t>
  </si>
  <si>
    <t>http://dx.doi.org/10.1029/2010PA002056</t>
  </si>
  <si>
    <t>Tripati03</t>
  </si>
  <si>
    <t>Tripati04</t>
  </si>
  <si>
    <t>Nigeria IB10A</t>
  </si>
  <si>
    <t>Nigeria IB10B</t>
  </si>
  <si>
    <t>Hampden Beach NZ</t>
  </si>
  <si>
    <t>mid-Waipara NZ</t>
  </si>
  <si>
    <t>Lodo Gulch</t>
  </si>
  <si>
    <t>Tumey Gulch</t>
  </si>
  <si>
    <t>Milville</t>
  </si>
  <si>
    <t>ODP 689</t>
  </si>
  <si>
    <t>DSDP 549</t>
  </si>
  <si>
    <t>Si18</t>
  </si>
  <si>
    <t>https://doi.org/10.1002/2017PA003219</t>
  </si>
  <si>
    <t>Bornemann14</t>
  </si>
  <si>
    <t>Stott96</t>
  </si>
  <si>
    <t>https://doi.org/10.1144/GSL.SP.1996.101.01.19</t>
  </si>
  <si>
    <t>28,10,0.15</t>
  </si>
  <si>
    <t>BAYSPAR settings (prior mean, prior std, tolerance)</t>
  </si>
  <si>
    <t>18,10,0.15</t>
  </si>
  <si>
    <t>28,10,0.2</t>
  </si>
  <si>
    <t>20,10,0.15</t>
  </si>
  <si>
    <t>30,10,0.2</t>
  </si>
  <si>
    <t>For this point, only HadCM d18Osw is used (GISS was a very negative value, ‒3‰)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</si>
</sst>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Font="1"/>
    <xf numFmtId="2" fontId="0" fillId="0" borderId="0" xfId="0" applyNumberFormat="1"/>
    <xf numFmtId="0" fontId="2" fillId="0" borderId="0" xfId="1"/>
    <xf numFmtId="0" fontId="4" fillId="0" borderId="0" xfId="0" applyFont="1"/>
    <xf numFmtId="2" fontId="4" fillId="0" borderId="0" xfId="0" applyNumberFormat="1" applyFont="1"/>
    <xf numFmtId="2" fontId="0" fillId="0" borderId="0" xfId="0" applyNumberFormat="1" applyFont="1"/>
    <xf numFmtId="0" fontId="0" fillId="0" borderId="0" xfId="0" applyFill="1"/>
  </cellXfs>
  <cellStyles count="5"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/>
  </sheetViews>
  <sheetFormatPr baseColWidth="10" defaultRowHeight="16" x14ac:dyDescent="0.2"/>
  <cols>
    <col min="1" max="1" width="15.83203125" customWidth="1"/>
    <col min="2" max="7" width="10.83203125" customWidth="1"/>
    <col min="8" max="10" width="10.83203125" style="3" customWidth="1"/>
    <col min="11" max="16" width="10.83203125" customWidth="1"/>
  </cols>
  <sheetData>
    <row r="1" spans="1:16" s="1" customFormat="1" x14ac:dyDescent="0.2">
      <c r="A1" s="1" t="s">
        <v>0</v>
      </c>
      <c r="B1" s="1" t="s">
        <v>2</v>
      </c>
      <c r="C1" s="1" t="s">
        <v>1</v>
      </c>
      <c r="D1" s="1" t="s">
        <v>113</v>
      </c>
      <c r="E1" s="1" t="s">
        <v>114</v>
      </c>
      <c r="F1" s="1" t="s">
        <v>3</v>
      </c>
      <c r="G1" s="1" t="s">
        <v>4</v>
      </c>
      <c r="H1" s="2" t="s">
        <v>10</v>
      </c>
      <c r="I1" s="2" t="s">
        <v>11</v>
      </c>
      <c r="J1" s="2" t="s">
        <v>12</v>
      </c>
      <c r="K1" s="1" t="s">
        <v>8</v>
      </c>
      <c r="L1" s="1" t="s">
        <v>134</v>
      </c>
      <c r="M1" s="1" t="s">
        <v>62</v>
      </c>
      <c r="N1" s="1" t="s">
        <v>63</v>
      </c>
      <c r="O1" s="1" t="s">
        <v>64</v>
      </c>
      <c r="P1" s="1" t="s">
        <v>14</v>
      </c>
    </row>
    <row r="2" spans="1:16" x14ac:dyDescent="0.2">
      <c r="A2" t="s">
        <v>122</v>
      </c>
      <c r="B2" s="5">
        <v>172.8</v>
      </c>
      <c r="C2" s="5">
        <v>-43.04</v>
      </c>
      <c r="D2" s="5">
        <v>-54.85</v>
      </c>
      <c r="E2" s="5">
        <v>-160.85</v>
      </c>
      <c r="F2" s="5">
        <v>2</v>
      </c>
      <c r="G2" s="5">
        <v>3.26</v>
      </c>
      <c r="H2" s="5">
        <v>26.3</v>
      </c>
      <c r="I2" s="5">
        <v>4.7</v>
      </c>
      <c r="J2" s="5">
        <v>4.7</v>
      </c>
      <c r="K2" t="s">
        <v>21</v>
      </c>
      <c r="M2" t="s">
        <v>66</v>
      </c>
      <c r="N2" t="s">
        <v>68</v>
      </c>
      <c r="O2" t="s">
        <v>69</v>
      </c>
      <c r="P2" s="1" t="s">
        <v>22</v>
      </c>
    </row>
    <row r="3" spans="1:16" x14ac:dyDescent="0.2">
      <c r="A3" t="s">
        <v>19</v>
      </c>
      <c r="B3" s="5">
        <v>-179.55500000000001</v>
      </c>
      <c r="C3" s="5">
        <v>18.440329999999999</v>
      </c>
      <c r="D3" s="5">
        <v>4.8499999999999996</v>
      </c>
      <c r="E3" s="5">
        <v>-143.85</v>
      </c>
      <c r="F3" s="5">
        <v>2</v>
      </c>
      <c r="G3" s="5">
        <v>4.6500000000000004</v>
      </c>
      <c r="H3" s="5">
        <v>32.5</v>
      </c>
      <c r="I3" s="5">
        <v>4.7</v>
      </c>
      <c r="J3" s="5">
        <v>4.7</v>
      </c>
      <c r="K3" t="s">
        <v>20</v>
      </c>
      <c r="M3" t="s">
        <v>70</v>
      </c>
      <c r="N3" t="s">
        <v>69</v>
      </c>
    </row>
    <row r="4" spans="1:16" x14ac:dyDescent="0.2">
      <c r="A4" t="s">
        <v>25</v>
      </c>
      <c r="B4" s="5">
        <v>176.6</v>
      </c>
      <c r="C4" s="5">
        <v>-39.9</v>
      </c>
      <c r="D4" s="5">
        <v>-52.75</v>
      </c>
      <c r="E4" s="5">
        <v>-169.95</v>
      </c>
      <c r="F4" s="5">
        <v>2</v>
      </c>
      <c r="G4" s="5">
        <v>2.85</v>
      </c>
      <c r="H4" s="5">
        <v>24.2</v>
      </c>
      <c r="I4" s="5">
        <v>4.7</v>
      </c>
      <c r="J4" s="5">
        <v>4.7</v>
      </c>
      <c r="K4" t="s">
        <v>24</v>
      </c>
      <c r="M4" t="s">
        <v>71</v>
      </c>
      <c r="N4" t="s">
        <v>69</v>
      </c>
    </row>
    <row r="5" spans="1:16" x14ac:dyDescent="0.2">
      <c r="A5" t="s">
        <v>26</v>
      </c>
      <c r="B5" s="5">
        <v>175.5</v>
      </c>
      <c r="C5" s="5">
        <v>-41.5</v>
      </c>
      <c r="D5" s="5">
        <v>-54.75</v>
      </c>
      <c r="E5" s="5">
        <v>-170.15</v>
      </c>
      <c r="F5" s="5">
        <v>2</v>
      </c>
      <c r="G5" s="5">
        <v>3.28</v>
      </c>
      <c r="H5" s="5">
        <v>26.2</v>
      </c>
      <c r="I5" s="5">
        <v>4.7</v>
      </c>
      <c r="J5" s="5">
        <v>4.7</v>
      </c>
      <c r="K5" t="s">
        <v>24</v>
      </c>
      <c r="M5" t="s">
        <v>71</v>
      </c>
      <c r="N5" t="s">
        <v>69</v>
      </c>
    </row>
    <row r="6" spans="1:16" x14ac:dyDescent="0.2">
      <c r="A6" t="s">
        <v>121</v>
      </c>
      <c r="B6" s="5">
        <v>170.8</v>
      </c>
      <c r="C6" s="5">
        <v>-45.3</v>
      </c>
      <c r="D6" s="5">
        <v>-56.55</v>
      </c>
      <c r="E6" s="5">
        <v>-164.05</v>
      </c>
      <c r="F6" s="5">
        <v>2</v>
      </c>
      <c r="G6" s="5">
        <v>3.17</v>
      </c>
      <c r="H6" s="5">
        <v>25.2</v>
      </c>
      <c r="I6" s="5">
        <v>4.7</v>
      </c>
      <c r="J6" s="5">
        <v>4.7</v>
      </c>
      <c r="K6" t="s">
        <v>24</v>
      </c>
      <c r="M6" t="s">
        <v>71</v>
      </c>
      <c r="N6" t="s">
        <v>69</v>
      </c>
    </row>
    <row r="7" spans="1:16" x14ac:dyDescent="0.2">
      <c r="A7" t="s">
        <v>28</v>
      </c>
      <c r="B7" s="5">
        <v>166.191</v>
      </c>
      <c r="C7" s="5">
        <v>-52.223999999999997</v>
      </c>
      <c r="D7" s="5">
        <v>-62.45</v>
      </c>
      <c r="E7" s="5">
        <v>-173.95</v>
      </c>
      <c r="F7" s="5">
        <v>2</v>
      </c>
      <c r="G7" s="5">
        <v>3.67</v>
      </c>
      <c r="H7" s="5">
        <v>27.5</v>
      </c>
      <c r="I7" s="5">
        <v>4.7</v>
      </c>
      <c r="J7" s="5">
        <v>4.7</v>
      </c>
      <c r="K7" t="s">
        <v>24</v>
      </c>
      <c r="M7" t="s">
        <v>71</v>
      </c>
      <c r="N7" t="s">
        <v>69</v>
      </c>
    </row>
    <row r="8" spans="1:16" x14ac:dyDescent="0.2">
      <c r="A8" t="s">
        <v>122</v>
      </c>
      <c r="B8" s="5">
        <v>172.8</v>
      </c>
      <c r="C8" s="5">
        <v>-43.04</v>
      </c>
      <c r="D8" s="5">
        <v>-54.85</v>
      </c>
      <c r="E8" s="5">
        <v>-160.85</v>
      </c>
      <c r="F8" s="5">
        <v>3</v>
      </c>
      <c r="G8" s="9">
        <v>0.78600000000000003</v>
      </c>
      <c r="H8" s="5">
        <v>33.5</v>
      </c>
      <c r="I8" s="5">
        <v>8.4</v>
      </c>
      <c r="J8" s="5">
        <v>8.6</v>
      </c>
      <c r="K8" t="s">
        <v>61</v>
      </c>
      <c r="L8" t="s">
        <v>133</v>
      </c>
      <c r="M8" t="s">
        <v>66</v>
      </c>
      <c r="N8" t="s">
        <v>65</v>
      </c>
      <c r="O8" t="s">
        <v>67</v>
      </c>
    </row>
    <row r="9" spans="1:16" x14ac:dyDescent="0.2">
      <c r="A9" t="s">
        <v>7</v>
      </c>
      <c r="B9" s="5">
        <v>135.999</v>
      </c>
      <c r="C9" s="5">
        <v>-63.31</v>
      </c>
      <c r="D9" s="5">
        <v>-62.35</v>
      </c>
      <c r="E9" s="5">
        <v>131.15</v>
      </c>
      <c r="F9" s="5">
        <v>3</v>
      </c>
      <c r="G9" s="9">
        <v>0.77900000000000003</v>
      </c>
      <c r="H9" s="5">
        <v>33.799999999999997</v>
      </c>
      <c r="I9" s="5">
        <v>8.3000000000000007</v>
      </c>
      <c r="J9" s="5">
        <v>5.7</v>
      </c>
      <c r="K9" t="s">
        <v>72</v>
      </c>
      <c r="L9" t="s">
        <v>133</v>
      </c>
      <c r="M9" s="4" t="s">
        <v>73</v>
      </c>
      <c r="N9" s="1"/>
      <c r="O9" s="1"/>
    </row>
    <row r="10" spans="1:16" x14ac:dyDescent="0.2">
      <c r="A10" t="s">
        <v>36</v>
      </c>
      <c r="B10" s="5">
        <v>-76</v>
      </c>
      <c r="C10" s="5">
        <v>38.6</v>
      </c>
      <c r="D10" s="5">
        <v>37.75</v>
      </c>
      <c r="E10" s="5">
        <v>-57.65</v>
      </c>
      <c r="F10" s="5">
        <v>3</v>
      </c>
      <c r="G10" s="9">
        <v>0.79600000000000004</v>
      </c>
      <c r="H10" s="5">
        <v>34</v>
      </c>
      <c r="I10" s="5">
        <v>8.5</v>
      </c>
      <c r="J10" s="5">
        <v>9.1</v>
      </c>
      <c r="K10" t="s">
        <v>74</v>
      </c>
      <c r="L10" t="s">
        <v>133</v>
      </c>
      <c r="M10" t="s">
        <v>67</v>
      </c>
    </row>
    <row r="11" spans="1:16" x14ac:dyDescent="0.2">
      <c r="A11" t="s">
        <v>39</v>
      </c>
      <c r="B11" s="5">
        <f>73+31/60</f>
        <v>73.516666666666666</v>
      </c>
      <c r="C11" s="5">
        <v>53.5</v>
      </c>
      <c r="D11" s="5">
        <v>55.25</v>
      </c>
      <c r="E11" s="5">
        <v>66.349999999999994</v>
      </c>
      <c r="F11" s="5">
        <v>3</v>
      </c>
      <c r="G11" s="9">
        <v>0.63200000000000001</v>
      </c>
      <c r="H11" s="5">
        <v>24.4</v>
      </c>
      <c r="I11" s="5">
        <v>5.2</v>
      </c>
      <c r="J11" s="5">
        <v>6.4</v>
      </c>
      <c r="K11" t="s">
        <v>75</v>
      </c>
      <c r="L11" t="s">
        <v>135</v>
      </c>
      <c r="M11" t="s">
        <v>76</v>
      </c>
    </row>
    <row r="12" spans="1:16" x14ac:dyDescent="0.2">
      <c r="A12" t="s">
        <v>40</v>
      </c>
      <c r="B12" s="5">
        <v>149.93</v>
      </c>
      <c r="C12" s="5">
        <v>-43.96</v>
      </c>
      <c r="D12" s="5">
        <v>-64.45</v>
      </c>
      <c r="E12" s="5">
        <v>159</v>
      </c>
      <c r="F12" s="5">
        <v>3</v>
      </c>
      <c r="G12" s="9">
        <v>0.77</v>
      </c>
      <c r="H12" s="5">
        <v>32.9</v>
      </c>
      <c r="I12" s="5">
        <v>8.1999999999999993</v>
      </c>
      <c r="J12" s="5">
        <v>8.5</v>
      </c>
      <c r="K12" t="s">
        <v>100</v>
      </c>
      <c r="L12" t="s">
        <v>133</v>
      </c>
      <c r="M12" s="10" t="s">
        <v>77</v>
      </c>
    </row>
    <row r="13" spans="1:16" x14ac:dyDescent="0.2">
      <c r="A13" t="s">
        <v>30</v>
      </c>
      <c r="B13" s="5">
        <v>-88.1</v>
      </c>
      <c r="C13" s="5">
        <v>31.7</v>
      </c>
      <c r="D13" s="5">
        <v>32.65</v>
      </c>
      <c r="E13" s="5">
        <v>-71.05</v>
      </c>
      <c r="F13" s="5">
        <v>3</v>
      </c>
      <c r="G13" s="9">
        <v>0.73899999999999999</v>
      </c>
      <c r="H13" s="5">
        <v>30.7</v>
      </c>
      <c r="I13" s="5">
        <v>7.8</v>
      </c>
      <c r="J13" s="5">
        <v>7.8</v>
      </c>
      <c r="K13" t="s">
        <v>29</v>
      </c>
      <c r="L13" t="s">
        <v>133</v>
      </c>
      <c r="M13" t="s">
        <v>79</v>
      </c>
    </row>
    <row r="14" spans="1:16" x14ac:dyDescent="0.2">
      <c r="A14" t="s">
        <v>91</v>
      </c>
      <c r="B14" s="5">
        <v>39.630000000000003</v>
      </c>
      <c r="C14" s="5">
        <v>-8.85</v>
      </c>
      <c r="D14" s="5">
        <v>-18.649999999999999</v>
      </c>
      <c r="E14" s="5">
        <v>34.15</v>
      </c>
      <c r="F14" s="5">
        <v>3</v>
      </c>
      <c r="G14" s="9">
        <v>0.75700000000000001</v>
      </c>
      <c r="H14" s="5">
        <v>31</v>
      </c>
      <c r="I14" s="5">
        <v>8.3000000000000007</v>
      </c>
      <c r="J14" s="5">
        <v>7.7</v>
      </c>
      <c r="K14" t="s">
        <v>81</v>
      </c>
      <c r="L14" t="s">
        <v>136</v>
      </c>
      <c r="M14" s="10" t="s">
        <v>80</v>
      </c>
    </row>
    <row r="15" spans="1:16" x14ac:dyDescent="0.2">
      <c r="A15" t="s">
        <v>41</v>
      </c>
      <c r="B15" s="5">
        <f>-43.74</f>
        <v>-43.74</v>
      </c>
      <c r="C15" s="5">
        <v>5.98</v>
      </c>
      <c r="D15" s="5">
        <v>2.1</v>
      </c>
      <c r="E15" s="5">
        <v>-30.8</v>
      </c>
      <c r="F15" s="5">
        <v>3</v>
      </c>
      <c r="G15" s="9">
        <v>0.85399999999999998</v>
      </c>
      <c r="H15" s="5">
        <v>37.5</v>
      </c>
      <c r="I15" s="5">
        <v>9.4</v>
      </c>
      <c r="J15" s="5">
        <v>11.6</v>
      </c>
      <c r="K15" t="s">
        <v>74</v>
      </c>
      <c r="L15" t="s">
        <v>133</v>
      </c>
      <c r="M15" t="s">
        <v>67</v>
      </c>
    </row>
    <row r="16" spans="1:16" x14ac:dyDescent="0.2">
      <c r="A16" t="s">
        <v>27</v>
      </c>
      <c r="B16" s="5">
        <v>170.8</v>
      </c>
      <c r="C16" s="5">
        <v>-45.3</v>
      </c>
      <c r="D16" s="5">
        <v>-56.55</v>
      </c>
      <c r="E16" s="5">
        <v>-164.05</v>
      </c>
      <c r="F16" s="5">
        <v>3</v>
      </c>
      <c r="G16" s="9">
        <v>0.81399999999999995</v>
      </c>
      <c r="H16" s="5">
        <v>35.299999999999997</v>
      </c>
      <c r="I16" s="5">
        <v>8.6</v>
      </c>
      <c r="J16" s="5">
        <v>10</v>
      </c>
      <c r="K16" t="s">
        <v>74</v>
      </c>
      <c r="L16" t="s">
        <v>133</v>
      </c>
      <c r="M16" t="s">
        <v>67</v>
      </c>
    </row>
    <row r="17" spans="1:16" x14ac:dyDescent="0.2">
      <c r="A17" t="s">
        <v>42</v>
      </c>
      <c r="B17" s="5">
        <f>134+10.64/60</f>
        <v>134.17733333333334</v>
      </c>
      <c r="C17" s="5">
        <f>87+52/60</f>
        <v>87.86666666666666</v>
      </c>
      <c r="D17" s="5">
        <v>82.95</v>
      </c>
      <c r="E17" s="5">
        <v>29.6</v>
      </c>
      <c r="F17" s="5">
        <v>3</v>
      </c>
      <c r="G17" s="9">
        <v>0.52400000000000002</v>
      </c>
      <c r="H17" s="5">
        <v>17.5</v>
      </c>
      <c r="I17" s="5">
        <v>5.6</v>
      </c>
      <c r="J17" s="5">
        <v>4.9000000000000004</v>
      </c>
      <c r="K17" t="s">
        <v>82</v>
      </c>
      <c r="L17" t="s">
        <v>135</v>
      </c>
      <c r="M17" s="10" t="s">
        <v>83</v>
      </c>
    </row>
    <row r="18" spans="1:16" x14ac:dyDescent="0.2">
      <c r="A18" t="s">
        <v>37</v>
      </c>
      <c r="B18" s="5">
        <v>-2.7357999999999998</v>
      </c>
      <c r="C18" s="5">
        <v>3.6276000000000002</v>
      </c>
      <c r="D18" s="5">
        <v>-2.65</v>
      </c>
      <c r="E18" s="5">
        <v>-8.5500000000000007</v>
      </c>
      <c r="F18" s="5">
        <v>3</v>
      </c>
      <c r="G18" s="9">
        <v>0.86499999999999999</v>
      </c>
      <c r="H18" s="5">
        <v>37.4</v>
      </c>
      <c r="I18" s="5">
        <v>8.9</v>
      </c>
      <c r="J18" s="5">
        <v>7.1</v>
      </c>
      <c r="K18" t="s">
        <v>107</v>
      </c>
      <c r="L18" t="s">
        <v>133</v>
      </c>
      <c r="M18" s="10" t="s">
        <v>85</v>
      </c>
      <c r="N18" s="6"/>
    </row>
    <row r="19" spans="1:16" x14ac:dyDescent="0.2">
      <c r="A19" t="s">
        <v>30</v>
      </c>
      <c r="B19" s="5">
        <v>-88.1</v>
      </c>
      <c r="C19" s="5">
        <v>31.7</v>
      </c>
      <c r="D19" s="5">
        <v>32.65</v>
      </c>
      <c r="E19" s="5">
        <v>-71.05</v>
      </c>
      <c r="F19" s="5">
        <v>4</v>
      </c>
      <c r="G19" s="5">
        <v>0.63900000000000001</v>
      </c>
      <c r="H19" s="5">
        <v>26.2</v>
      </c>
      <c r="I19" s="5">
        <v>5.4</v>
      </c>
      <c r="J19" s="5">
        <v>5.2</v>
      </c>
      <c r="K19" t="s">
        <v>29</v>
      </c>
      <c r="M19" t="s">
        <v>79</v>
      </c>
    </row>
    <row r="20" spans="1:16" x14ac:dyDescent="0.2">
      <c r="A20" t="s">
        <v>31</v>
      </c>
      <c r="B20" s="5">
        <f>68+39/60</f>
        <v>68.650000000000006</v>
      </c>
      <c r="C20" s="5">
        <f>23+34.5/60</f>
        <v>23.574999999999999</v>
      </c>
      <c r="D20" s="5">
        <v>-1.1499999999999999</v>
      </c>
      <c r="E20" s="5">
        <v>58.45</v>
      </c>
      <c r="F20" s="5">
        <v>4</v>
      </c>
      <c r="G20" s="5">
        <v>0.61099999999999999</v>
      </c>
      <c r="H20" s="5">
        <v>35.1</v>
      </c>
      <c r="I20" s="5">
        <v>2.6</v>
      </c>
      <c r="J20" s="5">
        <v>2.5</v>
      </c>
      <c r="K20" t="s">
        <v>9</v>
      </c>
      <c r="M20" t="s">
        <v>69</v>
      </c>
    </row>
    <row r="21" spans="1:16" x14ac:dyDescent="0.2">
      <c r="A21" t="s">
        <v>32</v>
      </c>
      <c r="B21" s="5">
        <v>3.9</v>
      </c>
      <c r="C21" s="5">
        <v>50.9</v>
      </c>
      <c r="D21" s="5">
        <v>46.45</v>
      </c>
      <c r="E21" s="5">
        <v>0.45</v>
      </c>
      <c r="F21" s="5">
        <v>4</v>
      </c>
      <c r="G21" s="5">
        <v>0.627</v>
      </c>
      <c r="H21" s="5">
        <v>31.1</v>
      </c>
      <c r="I21" s="5">
        <v>2.8</v>
      </c>
      <c r="J21" s="5">
        <v>2.7</v>
      </c>
      <c r="K21" t="s">
        <v>9</v>
      </c>
      <c r="M21" t="s">
        <v>69</v>
      </c>
    </row>
    <row r="22" spans="1:16" x14ac:dyDescent="0.2">
      <c r="A22" t="s">
        <v>33</v>
      </c>
      <c r="B22" s="5">
        <v>3.9</v>
      </c>
      <c r="C22" s="5">
        <v>50.9</v>
      </c>
      <c r="D22" s="5">
        <v>46.45</v>
      </c>
      <c r="E22" s="5">
        <v>0.45</v>
      </c>
      <c r="F22" s="5">
        <v>4</v>
      </c>
      <c r="G22" s="5">
        <v>0.64</v>
      </c>
      <c r="H22" s="5">
        <v>28.5</v>
      </c>
      <c r="I22" s="5">
        <v>2.4</v>
      </c>
      <c r="J22" s="5">
        <v>2.2999999999999998</v>
      </c>
      <c r="K22" t="s">
        <v>9</v>
      </c>
      <c r="M22" t="s">
        <v>69</v>
      </c>
    </row>
    <row r="23" spans="1:16" x14ac:dyDescent="0.2">
      <c r="A23" t="s">
        <v>34</v>
      </c>
      <c r="B23" s="5">
        <f>68+39/60</f>
        <v>68.650000000000006</v>
      </c>
      <c r="C23" s="5">
        <f>23+34.5/60</f>
        <v>23.574999999999999</v>
      </c>
      <c r="D23" s="5">
        <v>-1.1499999999999999</v>
      </c>
      <c r="E23" s="5">
        <v>58.45</v>
      </c>
      <c r="F23" s="5">
        <v>4</v>
      </c>
      <c r="G23" s="5">
        <v>0.61599999999999999</v>
      </c>
      <c r="H23" s="5">
        <v>33.1</v>
      </c>
      <c r="I23" s="5">
        <v>2.5</v>
      </c>
      <c r="J23" s="5">
        <v>2.5</v>
      </c>
      <c r="K23" t="s">
        <v>9</v>
      </c>
      <c r="M23" t="s">
        <v>69</v>
      </c>
    </row>
    <row r="24" spans="1:16" x14ac:dyDescent="0.2">
      <c r="A24" t="s">
        <v>35</v>
      </c>
      <c r="B24" s="5">
        <f>68+39/60</f>
        <v>68.650000000000006</v>
      </c>
      <c r="C24" s="5">
        <f>23+34.5/60</f>
        <v>23.574999999999999</v>
      </c>
      <c r="D24" s="5">
        <v>-1.1499999999999999</v>
      </c>
      <c r="E24" s="5">
        <v>58.45</v>
      </c>
      <c r="F24" s="5">
        <v>4</v>
      </c>
      <c r="G24" s="5">
        <v>0.62</v>
      </c>
      <c r="H24" s="5">
        <v>30.4</v>
      </c>
      <c r="I24" s="5">
        <v>2.5</v>
      </c>
      <c r="J24" s="5">
        <v>2.4</v>
      </c>
      <c r="K24" t="s">
        <v>9</v>
      </c>
      <c r="M24" t="s">
        <v>69</v>
      </c>
    </row>
    <row r="25" spans="1:16" x14ac:dyDescent="0.2">
      <c r="A25" t="s">
        <v>6</v>
      </c>
      <c r="B25" s="5">
        <v>1.2049000000000001</v>
      </c>
      <c r="C25" s="5">
        <v>-65.161000000000001</v>
      </c>
      <c r="D25" s="5">
        <v>-65.05</v>
      </c>
      <c r="E25" s="5">
        <v>-1.35</v>
      </c>
      <c r="F25" s="5">
        <v>1</v>
      </c>
      <c r="G25" s="5">
        <v>-0.83</v>
      </c>
      <c r="H25" s="5">
        <v>15.5</v>
      </c>
      <c r="I25" s="5">
        <v>2.2846122919560141</v>
      </c>
      <c r="J25" s="5">
        <v>2.2846122919560141</v>
      </c>
      <c r="K25" t="s">
        <v>58</v>
      </c>
      <c r="M25" s="10" t="s">
        <v>88</v>
      </c>
      <c r="P25" s="1"/>
    </row>
    <row r="26" spans="1:16" x14ac:dyDescent="0.2">
      <c r="A26" t="s">
        <v>91</v>
      </c>
      <c r="B26" s="5">
        <v>39.630000000000003</v>
      </c>
      <c r="C26" s="5">
        <v>-8.85</v>
      </c>
      <c r="D26" s="5">
        <v>-18.649999999999999</v>
      </c>
      <c r="E26" s="5">
        <v>34.15</v>
      </c>
      <c r="F26" s="5">
        <v>1</v>
      </c>
      <c r="G26" s="5">
        <v>-3.45</v>
      </c>
      <c r="H26" s="5">
        <v>30.5</v>
      </c>
      <c r="I26" s="5">
        <v>3.3941861988431041</v>
      </c>
      <c r="J26" s="5">
        <v>3.3941861988431041</v>
      </c>
      <c r="K26" t="s">
        <v>81</v>
      </c>
      <c r="M26" s="10" t="s">
        <v>80</v>
      </c>
      <c r="P26" s="1"/>
    </row>
    <row r="27" spans="1:16" x14ac:dyDescent="0.2">
      <c r="A27" t="s">
        <v>56</v>
      </c>
      <c r="B27" s="5">
        <v>82.79</v>
      </c>
      <c r="C27" s="5">
        <v>-62.71</v>
      </c>
      <c r="D27" s="5">
        <v>-62.2</v>
      </c>
      <c r="E27" s="5">
        <v>79.400000000000006</v>
      </c>
      <c r="F27" s="5">
        <v>1</v>
      </c>
      <c r="G27" s="5">
        <v>-0.75</v>
      </c>
      <c r="H27" s="5">
        <v>16</v>
      </c>
      <c r="I27" s="5">
        <v>0.87981977799519684</v>
      </c>
      <c r="J27" s="5">
        <v>0.87981977799519684</v>
      </c>
      <c r="K27" t="s">
        <v>57</v>
      </c>
      <c r="M27" s="10" t="s">
        <v>89</v>
      </c>
      <c r="N27" s="10" t="s">
        <v>90</v>
      </c>
      <c r="P27" s="1"/>
    </row>
    <row r="28" spans="1:16" x14ac:dyDescent="0.2">
      <c r="A28" t="s">
        <v>28</v>
      </c>
      <c r="B28" s="5">
        <v>166.191</v>
      </c>
      <c r="C28" s="5">
        <v>-52.223999999999997</v>
      </c>
      <c r="D28" s="5">
        <v>-62.45</v>
      </c>
      <c r="E28" s="5">
        <v>-173.95</v>
      </c>
      <c r="F28" s="5">
        <v>1</v>
      </c>
      <c r="G28" s="5">
        <v>-1.71</v>
      </c>
      <c r="H28" s="5">
        <v>18.100000000000001</v>
      </c>
      <c r="I28" s="5">
        <v>8.7232975169214289</v>
      </c>
      <c r="J28" s="5">
        <v>8.7232975169214289</v>
      </c>
      <c r="K28" t="s">
        <v>59</v>
      </c>
      <c r="M28" t="s">
        <v>87</v>
      </c>
    </row>
    <row r="29" spans="1:16" x14ac:dyDescent="0.2">
      <c r="A29" t="s">
        <v>122</v>
      </c>
      <c r="B29" s="5">
        <v>172.8</v>
      </c>
      <c r="C29" s="5">
        <v>-43.04</v>
      </c>
      <c r="D29" s="5">
        <v>-54.85</v>
      </c>
      <c r="E29" s="5">
        <v>-160.85</v>
      </c>
      <c r="F29" s="5">
        <v>1</v>
      </c>
      <c r="G29" s="5">
        <v>-4.04</v>
      </c>
      <c r="H29" s="5">
        <v>29.1</v>
      </c>
      <c r="I29" s="5">
        <v>10.876784230761205</v>
      </c>
      <c r="J29" s="5">
        <v>10.876784230761205</v>
      </c>
      <c r="K29" t="s">
        <v>60</v>
      </c>
      <c r="M29" t="s">
        <v>65</v>
      </c>
    </row>
    <row r="30" spans="1:16" x14ac:dyDescent="0.2">
      <c r="A30" t="s">
        <v>19</v>
      </c>
      <c r="B30" s="5">
        <v>-179.55500000000001</v>
      </c>
      <c r="C30" s="5">
        <v>18.440329999999999</v>
      </c>
      <c r="D30" s="5">
        <v>4.8499999999999996</v>
      </c>
      <c r="E30" s="5">
        <v>-143.85</v>
      </c>
      <c r="F30" s="5">
        <v>1</v>
      </c>
      <c r="G30" s="5">
        <v>-2.91</v>
      </c>
      <c r="H30" s="5">
        <v>28.124315914154053</v>
      </c>
      <c r="I30" s="5">
        <v>2.0758025811222991</v>
      </c>
      <c r="J30" s="5">
        <v>2.0758025811222991</v>
      </c>
      <c r="K30" t="s">
        <v>115</v>
      </c>
      <c r="M30" s="10" t="s">
        <v>116</v>
      </c>
      <c r="P30" s="1"/>
    </row>
    <row r="31" spans="1:16" x14ac:dyDescent="0.2">
      <c r="A31" t="s">
        <v>123</v>
      </c>
      <c r="B31" s="5">
        <v>-120.64</v>
      </c>
      <c r="C31" s="5">
        <v>36.590000000000003</v>
      </c>
      <c r="D31" s="5">
        <v>42.25</v>
      </c>
      <c r="E31" s="5">
        <v>-103.75</v>
      </c>
      <c r="F31" s="5">
        <v>1</v>
      </c>
      <c r="G31" s="5">
        <v>-2.3199999999999998</v>
      </c>
      <c r="H31" s="5">
        <v>23.7</v>
      </c>
      <c r="I31" s="5">
        <v>9.9</v>
      </c>
      <c r="J31" s="5">
        <v>9.9</v>
      </c>
      <c r="K31" t="s">
        <v>52</v>
      </c>
      <c r="M31" t="s">
        <v>96</v>
      </c>
      <c r="P31" s="1"/>
    </row>
    <row r="32" spans="1:16" x14ac:dyDescent="0.2">
      <c r="A32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/>
  </sheetViews>
  <sheetFormatPr baseColWidth="10" defaultRowHeight="16" x14ac:dyDescent="0.2"/>
  <cols>
    <col min="1" max="1" width="15.83203125" customWidth="1"/>
    <col min="6" max="6" width="10.83203125" customWidth="1"/>
    <col min="8" max="8" width="10.83203125" customWidth="1"/>
    <col min="9" max="10" width="10.83203125" style="3" customWidth="1"/>
    <col min="11" max="12" width="10.83203125" customWidth="1"/>
  </cols>
  <sheetData>
    <row r="1" spans="1:15" s="1" customFormat="1" x14ac:dyDescent="0.2">
      <c r="A1" s="1" t="s">
        <v>0</v>
      </c>
      <c r="B1" s="1" t="s">
        <v>2</v>
      </c>
      <c r="C1" s="1" t="s">
        <v>1</v>
      </c>
      <c r="D1" s="1" t="s">
        <v>113</v>
      </c>
      <c r="E1" s="1" t="s">
        <v>114</v>
      </c>
      <c r="F1" s="1" t="s">
        <v>3</v>
      </c>
      <c r="G1" s="1" t="s">
        <v>4</v>
      </c>
      <c r="H1" s="2" t="s">
        <v>10</v>
      </c>
      <c r="I1" s="2" t="s">
        <v>11</v>
      </c>
      <c r="J1" s="2" t="s">
        <v>12</v>
      </c>
      <c r="K1" s="1" t="s">
        <v>8</v>
      </c>
      <c r="L1" s="1" t="s">
        <v>134</v>
      </c>
      <c r="M1" s="1" t="s">
        <v>62</v>
      </c>
      <c r="N1" s="1" t="s">
        <v>63</v>
      </c>
      <c r="O1" s="1" t="s">
        <v>14</v>
      </c>
    </row>
    <row r="2" spans="1:15" x14ac:dyDescent="0.2">
      <c r="A2" t="s">
        <v>43</v>
      </c>
      <c r="B2" s="5">
        <v>-74.400000000000006</v>
      </c>
      <c r="C2" s="5">
        <v>39.630000000000003</v>
      </c>
      <c r="D2" s="5">
        <v>38.450000000000003</v>
      </c>
      <c r="E2" s="5">
        <v>-55.55</v>
      </c>
      <c r="F2" s="5">
        <v>3</v>
      </c>
      <c r="G2" s="9">
        <v>0.877</v>
      </c>
      <c r="H2" s="5">
        <v>37.299999999999997</v>
      </c>
      <c r="I2" s="5">
        <v>8.5</v>
      </c>
      <c r="J2" s="5">
        <v>7.2</v>
      </c>
      <c r="K2" t="s">
        <v>93</v>
      </c>
      <c r="L2" t="s">
        <v>133</v>
      </c>
      <c r="M2" s="10" t="s">
        <v>94</v>
      </c>
    </row>
    <row r="3" spans="1:15" x14ac:dyDescent="0.2">
      <c r="A3" t="s">
        <v>44</v>
      </c>
      <c r="B3" s="5">
        <f>-75-2/60</f>
        <v>-75.033333333333331</v>
      </c>
      <c r="C3" s="5">
        <f>39+39/60</f>
        <v>39.65</v>
      </c>
      <c r="D3" s="5">
        <v>38.65</v>
      </c>
      <c r="E3" s="5">
        <v>-56.45</v>
      </c>
      <c r="F3" s="5">
        <v>3</v>
      </c>
      <c r="G3" s="9">
        <v>0.877</v>
      </c>
      <c r="H3" s="5">
        <v>38.5</v>
      </c>
      <c r="I3" s="5">
        <v>9.1999999999999993</v>
      </c>
      <c r="J3" s="5">
        <v>7.7</v>
      </c>
      <c r="K3" t="s">
        <v>97</v>
      </c>
      <c r="L3" t="s">
        <v>133</v>
      </c>
      <c r="M3" t="s">
        <v>98</v>
      </c>
    </row>
    <row r="4" spans="1:15" x14ac:dyDescent="0.2">
      <c r="A4" t="s">
        <v>40</v>
      </c>
      <c r="B4" s="5">
        <v>149.93</v>
      </c>
      <c r="C4" s="5">
        <v>-43.96</v>
      </c>
      <c r="D4" s="5">
        <v>-64.45</v>
      </c>
      <c r="E4" s="5">
        <v>159</v>
      </c>
      <c r="F4" s="5">
        <v>3</v>
      </c>
      <c r="G4" s="9">
        <v>0.77400000000000002</v>
      </c>
      <c r="H4" s="5">
        <v>32.9</v>
      </c>
      <c r="I4" s="5">
        <v>8.1999999999999993</v>
      </c>
      <c r="J4" s="5">
        <v>8.5</v>
      </c>
      <c r="K4" t="s">
        <v>101</v>
      </c>
      <c r="L4" t="s">
        <v>133</v>
      </c>
      <c r="M4" s="10" t="s">
        <v>78</v>
      </c>
    </row>
    <row r="5" spans="1:15" x14ac:dyDescent="0.2">
      <c r="A5" t="s">
        <v>45</v>
      </c>
      <c r="B5" s="5">
        <v>9.1</v>
      </c>
      <c r="C5" s="5">
        <v>56.8</v>
      </c>
      <c r="D5" s="5">
        <v>52.65</v>
      </c>
      <c r="E5" s="5">
        <v>4.05</v>
      </c>
      <c r="F5" s="5">
        <v>3</v>
      </c>
      <c r="G5" s="9">
        <v>0.71299999999999997</v>
      </c>
      <c r="H5" s="5">
        <v>29.2</v>
      </c>
      <c r="I5" s="5">
        <v>5.0999999999999996</v>
      </c>
      <c r="J5" s="5">
        <v>7</v>
      </c>
      <c r="K5" t="s">
        <v>102</v>
      </c>
      <c r="L5" t="s">
        <v>137</v>
      </c>
      <c r="M5" t="s">
        <v>103</v>
      </c>
    </row>
    <row r="6" spans="1:15" x14ac:dyDescent="0.2">
      <c r="A6" t="s">
        <v>46</v>
      </c>
      <c r="B6" s="5">
        <v>11.1</v>
      </c>
      <c r="C6" s="5">
        <v>55.3</v>
      </c>
      <c r="D6" s="5">
        <v>50.8</v>
      </c>
      <c r="E6" s="5">
        <v>6.25</v>
      </c>
      <c r="F6" s="5">
        <v>3</v>
      </c>
      <c r="G6" s="9">
        <v>0.63800000000000001</v>
      </c>
      <c r="H6" s="5">
        <v>24.7</v>
      </c>
      <c r="I6" s="5">
        <v>5.2</v>
      </c>
      <c r="J6" s="5">
        <v>6.7</v>
      </c>
      <c r="K6" t="s">
        <v>102</v>
      </c>
      <c r="L6" t="s">
        <v>137</v>
      </c>
      <c r="M6" t="s">
        <v>103</v>
      </c>
    </row>
    <row r="7" spans="1:15" x14ac:dyDescent="0.2">
      <c r="A7" t="s">
        <v>47</v>
      </c>
      <c r="B7" s="5">
        <f>-88-43/60-14/3600</f>
        <v>-88.720555555555563</v>
      </c>
      <c r="C7" s="5">
        <f>32+15/60+4/3600</f>
        <v>32.251111111111108</v>
      </c>
      <c r="D7" s="5">
        <v>32.85</v>
      </c>
      <c r="E7" s="5">
        <v>-72</v>
      </c>
      <c r="F7" s="5">
        <v>3</v>
      </c>
      <c r="G7" s="9">
        <v>0.88800000000000001</v>
      </c>
      <c r="H7" s="5">
        <v>38.299999999999997</v>
      </c>
      <c r="I7" s="5">
        <v>8.8000000000000007</v>
      </c>
      <c r="J7" s="5">
        <v>7.3</v>
      </c>
      <c r="K7" t="s">
        <v>105</v>
      </c>
      <c r="L7" t="s">
        <v>133</v>
      </c>
      <c r="M7" s="10" t="s">
        <v>104</v>
      </c>
    </row>
    <row r="8" spans="1:15" x14ac:dyDescent="0.2">
      <c r="A8" t="s">
        <v>48</v>
      </c>
      <c r="B8" s="5">
        <f>73+31/60</f>
        <v>73.516666666666666</v>
      </c>
      <c r="C8" s="5">
        <v>53.5</v>
      </c>
      <c r="D8" s="5">
        <v>55.25</v>
      </c>
      <c r="E8" s="5">
        <v>66.349999999999994</v>
      </c>
      <c r="F8" s="5">
        <v>3</v>
      </c>
      <c r="G8" s="9">
        <v>0.68200000000000005</v>
      </c>
      <c r="H8" s="5">
        <v>27.5</v>
      </c>
      <c r="I8" s="5">
        <v>5.8</v>
      </c>
      <c r="J8" s="5">
        <v>8.5</v>
      </c>
      <c r="K8" t="s">
        <v>75</v>
      </c>
      <c r="L8" t="s">
        <v>135</v>
      </c>
      <c r="M8" t="s">
        <v>76</v>
      </c>
    </row>
    <row r="9" spans="1:15" x14ac:dyDescent="0.2">
      <c r="A9" t="s">
        <v>42</v>
      </c>
      <c r="B9" s="5">
        <f>134+10.64/60</f>
        <v>134.17733333333334</v>
      </c>
      <c r="C9" s="5">
        <f>87+52/60</f>
        <v>87.86666666666666</v>
      </c>
      <c r="D9" s="5">
        <v>82.95</v>
      </c>
      <c r="E9" s="5">
        <v>29.6</v>
      </c>
      <c r="F9" s="5">
        <v>3</v>
      </c>
      <c r="G9" s="9">
        <v>0.59099999999999997</v>
      </c>
      <c r="H9" s="5">
        <v>22.1</v>
      </c>
      <c r="I9" s="5">
        <v>5.5</v>
      </c>
      <c r="J9" s="5">
        <v>6.5</v>
      </c>
      <c r="K9" t="s">
        <v>82</v>
      </c>
      <c r="L9" t="s">
        <v>135</v>
      </c>
      <c r="M9" s="10" t="s">
        <v>83</v>
      </c>
    </row>
    <row r="10" spans="1:15" x14ac:dyDescent="0.2">
      <c r="A10" t="s">
        <v>122</v>
      </c>
      <c r="B10" s="5">
        <v>172.8</v>
      </c>
      <c r="C10" s="5">
        <v>-43.04</v>
      </c>
      <c r="D10" s="5">
        <v>-54.85</v>
      </c>
      <c r="E10" s="5">
        <v>-160.85</v>
      </c>
      <c r="F10" s="5">
        <v>3</v>
      </c>
      <c r="G10" s="9">
        <v>0.83599999999999997</v>
      </c>
      <c r="H10" s="5">
        <v>36.5</v>
      </c>
      <c r="I10" s="5">
        <v>8.8000000000000007</v>
      </c>
      <c r="J10" s="5">
        <v>10.6</v>
      </c>
      <c r="K10" t="s">
        <v>60</v>
      </c>
      <c r="L10" t="s">
        <v>133</v>
      </c>
      <c r="M10" t="s">
        <v>65</v>
      </c>
    </row>
    <row r="11" spans="1:15" x14ac:dyDescent="0.2">
      <c r="A11" t="s">
        <v>119</v>
      </c>
      <c r="B11" s="5">
        <v>3.63</v>
      </c>
      <c r="C11" s="5">
        <v>6.8</v>
      </c>
      <c r="D11" s="5">
        <v>-0.45</v>
      </c>
      <c r="E11" s="5">
        <v>-1.25</v>
      </c>
      <c r="F11" s="5">
        <v>3</v>
      </c>
      <c r="G11" s="9">
        <v>0.93500000000000005</v>
      </c>
      <c r="H11" s="5">
        <v>42.1</v>
      </c>
      <c r="I11" s="5">
        <v>9.9</v>
      </c>
      <c r="J11" s="5">
        <v>10.1</v>
      </c>
      <c r="K11" t="s">
        <v>55</v>
      </c>
      <c r="L11" t="s">
        <v>138</v>
      </c>
      <c r="M11" s="10" t="s">
        <v>106</v>
      </c>
    </row>
    <row r="12" spans="1:15" x14ac:dyDescent="0.2">
      <c r="A12" t="s">
        <v>120</v>
      </c>
      <c r="B12" s="5">
        <v>3.63</v>
      </c>
      <c r="C12" s="5">
        <v>6.8</v>
      </c>
      <c r="D12" s="5">
        <v>-0.45</v>
      </c>
      <c r="E12" s="5">
        <v>-1.25</v>
      </c>
      <c r="F12" s="5">
        <v>3</v>
      </c>
      <c r="G12" s="9">
        <v>0.92200000000000004</v>
      </c>
      <c r="H12" s="5">
        <v>40.5</v>
      </c>
      <c r="I12" s="5">
        <v>9.1999999999999993</v>
      </c>
      <c r="J12" s="5">
        <v>8.1999999999999993</v>
      </c>
      <c r="K12" t="s">
        <v>55</v>
      </c>
      <c r="L12" t="s">
        <v>138</v>
      </c>
      <c r="M12" s="10" t="s">
        <v>106</v>
      </c>
    </row>
    <row r="13" spans="1:15" x14ac:dyDescent="0.2">
      <c r="A13" t="s">
        <v>37</v>
      </c>
      <c r="B13" s="5">
        <v>-2.7357999999999998</v>
      </c>
      <c r="C13" s="5">
        <v>3.6276000000000002</v>
      </c>
      <c r="D13" s="5">
        <v>-2.65</v>
      </c>
      <c r="E13" s="5">
        <v>-8.5500000000000007</v>
      </c>
      <c r="F13" s="5">
        <v>3</v>
      </c>
      <c r="G13" s="9">
        <v>0.96099999999999997</v>
      </c>
      <c r="H13" s="5">
        <v>43.1</v>
      </c>
      <c r="I13" s="5">
        <v>9.9</v>
      </c>
      <c r="J13" s="5">
        <v>9</v>
      </c>
      <c r="K13" t="s">
        <v>50</v>
      </c>
      <c r="L13" t="s">
        <v>133</v>
      </c>
      <c r="M13" s="10" t="s">
        <v>84</v>
      </c>
    </row>
    <row r="14" spans="1:15" x14ac:dyDescent="0.2">
      <c r="A14" t="s">
        <v>43</v>
      </c>
      <c r="B14" s="5">
        <v>-74.400000000000006</v>
      </c>
      <c r="C14" s="5">
        <v>39.630000000000003</v>
      </c>
      <c r="D14" s="5">
        <v>38.450000000000003</v>
      </c>
      <c r="E14" s="5">
        <v>-55.55</v>
      </c>
      <c r="F14" s="5">
        <v>2</v>
      </c>
      <c r="G14" s="5">
        <v>3.56</v>
      </c>
      <c r="H14" s="5">
        <v>26.3</v>
      </c>
      <c r="I14" s="5">
        <v>4.7</v>
      </c>
      <c r="J14" s="5">
        <v>4.7</v>
      </c>
      <c r="K14" t="s">
        <v>53</v>
      </c>
      <c r="M14" t="s">
        <v>95</v>
      </c>
      <c r="O14" s="1"/>
    </row>
    <row r="15" spans="1:15" x14ac:dyDescent="0.2">
      <c r="A15" t="s">
        <v>13</v>
      </c>
      <c r="B15" s="5">
        <v>158.506</v>
      </c>
      <c r="C15" s="5">
        <v>32.652000000000001</v>
      </c>
      <c r="D15" s="5">
        <v>22.2</v>
      </c>
      <c r="E15" s="5">
        <v>-161.44999999999999</v>
      </c>
      <c r="F15" s="5">
        <v>2</v>
      </c>
      <c r="G15" s="5">
        <v>5.27</v>
      </c>
      <c r="H15" s="5">
        <v>32.6</v>
      </c>
      <c r="I15" s="5">
        <v>4.7</v>
      </c>
      <c r="J15" s="5">
        <v>4.7</v>
      </c>
      <c r="K15" t="s">
        <v>111</v>
      </c>
      <c r="M15" s="10" t="s">
        <v>112</v>
      </c>
      <c r="O15" s="1"/>
    </row>
    <row r="16" spans="1:15" x14ac:dyDescent="0.2">
      <c r="A16" t="s">
        <v>15</v>
      </c>
      <c r="B16" s="5">
        <v>1.7633000000000001</v>
      </c>
      <c r="C16" s="5">
        <v>-28.041499999999999</v>
      </c>
      <c r="D16" s="5">
        <v>-34.950000000000003</v>
      </c>
      <c r="E16" s="5">
        <v>-7.75</v>
      </c>
      <c r="F16" s="5">
        <v>2</v>
      </c>
      <c r="G16" s="5">
        <v>4.1500000000000004</v>
      </c>
      <c r="H16" s="5">
        <v>28.7</v>
      </c>
      <c r="I16" s="5">
        <v>4.7</v>
      </c>
      <c r="J16" s="5">
        <v>4.7</v>
      </c>
      <c r="K16" t="s">
        <v>16</v>
      </c>
      <c r="M16" s="10" t="s">
        <v>109</v>
      </c>
      <c r="N16" t="s">
        <v>69</v>
      </c>
    </row>
    <row r="17" spans="1:15" x14ac:dyDescent="0.2">
      <c r="A17" t="s">
        <v>18</v>
      </c>
      <c r="B17" s="5">
        <v>-8.8102999999999998</v>
      </c>
      <c r="C17" s="5">
        <v>47.427500000000002</v>
      </c>
      <c r="D17" s="5">
        <v>41.95</v>
      </c>
      <c r="E17" s="5">
        <v>-10.95</v>
      </c>
      <c r="F17" s="5">
        <v>2</v>
      </c>
      <c r="G17" s="5">
        <v>3.84</v>
      </c>
      <c r="H17" s="5">
        <v>27.5</v>
      </c>
      <c r="I17" s="5">
        <v>4.7</v>
      </c>
      <c r="J17" s="5">
        <v>4.7</v>
      </c>
      <c r="K17" t="s">
        <v>17</v>
      </c>
      <c r="M17" s="10" t="s">
        <v>110</v>
      </c>
      <c r="N17" t="s">
        <v>69</v>
      </c>
    </row>
    <row r="18" spans="1:15" x14ac:dyDescent="0.2">
      <c r="A18" t="s">
        <v>28</v>
      </c>
      <c r="B18" s="5">
        <v>166.191</v>
      </c>
      <c r="C18" s="5">
        <v>-52.223999999999997</v>
      </c>
      <c r="D18" s="5">
        <v>-62.45</v>
      </c>
      <c r="E18" s="5">
        <v>-173.95</v>
      </c>
      <c r="F18" s="5">
        <v>2</v>
      </c>
      <c r="G18" s="5">
        <v>4.6500000000000004</v>
      </c>
      <c r="H18" s="5">
        <v>31</v>
      </c>
      <c r="I18" s="5">
        <v>4.7</v>
      </c>
      <c r="J18" s="5">
        <v>4.7</v>
      </c>
      <c r="K18" t="s">
        <v>24</v>
      </c>
      <c r="M18" t="s">
        <v>71</v>
      </c>
      <c r="N18" t="s">
        <v>69</v>
      </c>
    </row>
    <row r="19" spans="1:15" x14ac:dyDescent="0.2">
      <c r="A19" t="s">
        <v>19</v>
      </c>
      <c r="B19" s="5">
        <v>-179.55500000000001</v>
      </c>
      <c r="C19" s="5">
        <v>18.440329999999999</v>
      </c>
      <c r="D19" s="5">
        <v>4.8499999999999996</v>
      </c>
      <c r="E19" s="5">
        <v>-143.85</v>
      </c>
      <c r="F19" s="5">
        <v>2</v>
      </c>
      <c r="G19" s="5">
        <v>4.5199999999999996</v>
      </c>
      <c r="H19" s="5">
        <v>30.1</v>
      </c>
      <c r="I19" s="5">
        <v>4.7</v>
      </c>
      <c r="J19" s="5">
        <v>4.7</v>
      </c>
      <c r="K19" t="s">
        <v>118</v>
      </c>
      <c r="M19" s="10" t="s">
        <v>109</v>
      </c>
      <c r="O19" s="1"/>
    </row>
    <row r="20" spans="1:15" x14ac:dyDescent="0.2">
      <c r="A20" t="s">
        <v>43</v>
      </c>
      <c r="B20" s="5">
        <v>-74.400000000000006</v>
      </c>
      <c r="C20" s="5">
        <v>39.630000000000003</v>
      </c>
      <c r="D20" s="5">
        <v>38.450000000000003</v>
      </c>
      <c r="E20" s="5">
        <v>-55.55</v>
      </c>
      <c r="F20" s="5">
        <v>1</v>
      </c>
      <c r="G20" s="5">
        <v>-3.9</v>
      </c>
      <c r="H20" s="5">
        <v>33.612140937805179</v>
      </c>
      <c r="I20" s="5">
        <v>2.9794978124600986</v>
      </c>
      <c r="J20" s="5">
        <v>2.9794978124600986</v>
      </c>
      <c r="K20" t="s">
        <v>52</v>
      </c>
      <c r="M20" t="s">
        <v>96</v>
      </c>
      <c r="O20" s="1"/>
    </row>
    <row r="21" spans="1:15" x14ac:dyDescent="0.2">
      <c r="A21" t="s">
        <v>92</v>
      </c>
      <c r="B21" s="5">
        <v>39.51</v>
      </c>
      <c r="C21" s="5">
        <v>-9.2799999999999994</v>
      </c>
      <c r="D21" s="5">
        <v>-18.649999999999999</v>
      </c>
      <c r="E21" s="5">
        <v>34.15</v>
      </c>
      <c r="F21" s="5">
        <v>1</v>
      </c>
      <c r="G21" s="5">
        <v>-4.04</v>
      </c>
      <c r="H21" s="5">
        <v>33.295272748947141</v>
      </c>
      <c r="I21" s="5">
        <v>3.3941861988430895</v>
      </c>
      <c r="J21" s="5">
        <v>3.3941861988430895</v>
      </c>
      <c r="K21" t="s">
        <v>54</v>
      </c>
      <c r="M21" s="10" t="s">
        <v>86</v>
      </c>
      <c r="O21" s="1"/>
    </row>
    <row r="22" spans="1:15" x14ac:dyDescent="0.2">
      <c r="A22" t="s">
        <v>28</v>
      </c>
      <c r="B22" s="5">
        <v>166.191</v>
      </c>
      <c r="C22" s="5">
        <v>-52.223999999999997</v>
      </c>
      <c r="D22" s="5">
        <v>-62.45</v>
      </c>
      <c r="E22" s="5">
        <v>-173.95</v>
      </c>
      <c r="F22" s="5">
        <v>1</v>
      </c>
      <c r="G22" s="5">
        <v>-2.4900000000000002</v>
      </c>
      <c r="H22" s="5">
        <v>21.860616376876841</v>
      </c>
      <c r="I22" s="5">
        <v>8.7232975169214821</v>
      </c>
      <c r="J22" s="5">
        <v>8.7232975169214821</v>
      </c>
      <c r="K22" t="s">
        <v>59</v>
      </c>
      <c r="M22" t="s">
        <v>87</v>
      </c>
      <c r="O22" s="1"/>
    </row>
    <row r="23" spans="1:15" x14ac:dyDescent="0.2">
      <c r="A23" t="s">
        <v>44</v>
      </c>
      <c r="B23" s="5">
        <f>-75-2/60</f>
        <v>-75.033333333333331</v>
      </c>
      <c r="C23" s="5">
        <f>39+39/60</f>
        <v>39.65</v>
      </c>
      <c r="D23" s="5">
        <v>38.65</v>
      </c>
      <c r="E23" s="5">
        <v>-56.45</v>
      </c>
      <c r="F23" s="5">
        <v>1</v>
      </c>
      <c r="G23" s="5">
        <v>-3.77</v>
      </c>
      <c r="H23" s="5">
        <v>32.988140937805184</v>
      </c>
      <c r="I23" s="5">
        <v>2.9794978124601035</v>
      </c>
      <c r="J23" s="5">
        <v>2.9794978124601035</v>
      </c>
      <c r="K23" t="s">
        <v>99</v>
      </c>
      <c r="M23" t="s">
        <v>98</v>
      </c>
      <c r="O23" s="1"/>
    </row>
    <row r="24" spans="1:15" x14ac:dyDescent="0.2">
      <c r="A24" t="s">
        <v>19</v>
      </c>
      <c r="B24" s="5">
        <v>-179.55500000000001</v>
      </c>
      <c r="C24" s="5">
        <v>18.440329999999999</v>
      </c>
      <c r="D24" s="5">
        <v>4.8499999999999996</v>
      </c>
      <c r="E24" s="5">
        <v>-143.85</v>
      </c>
      <c r="F24" s="5">
        <v>1</v>
      </c>
      <c r="G24" s="5">
        <v>-3.86</v>
      </c>
      <c r="H24" s="5">
        <v>32.684315914154055</v>
      </c>
      <c r="I24" s="5">
        <v>2.0758025811222991</v>
      </c>
      <c r="J24" s="5">
        <v>2.0758025811222991</v>
      </c>
      <c r="K24" t="s">
        <v>115</v>
      </c>
      <c r="M24" s="10" t="s">
        <v>116</v>
      </c>
      <c r="O24" s="1"/>
    </row>
    <row r="25" spans="1:15" x14ac:dyDescent="0.2">
      <c r="A25" t="s">
        <v>123</v>
      </c>
      <c r="B25" s="5">
        <v>-120.64</v>
      </c>
      <c r="C25" s="5">
        <v>36.590000000000003</v>
      </c>
      <c r="D25" s="5">
        <v>42.25</v>
      </c>
      <c r="E25" s="5">
        <v>-103.75</v>
      </c>
      <c r="F25" s="5">
        <v>1</v>
      </c>
      <c r="G25" s="5">
        <v>-2.68</v>
      </c>
      <c r="H25" s="5">
        <v>25.41993253231049</v>
      </c>
      <c r="I25" s="5">
        <v>9.8984452492548645</v>
      </c>
      <c r="J25" s="5">
        <v>9.8984452492548645</v>
      </c>
      <c r="K25" t="s">
        <v>52</v>
      </c>
      <c r="M25" t="s">
        <v>96</v>
      </c>
      <c r="O25" s="1"/>
    </row>
    <row r="26" spans="1:15" x14ac:dyDescent="0.2">
      <c r="A26" t="s">
        <v>124</v>
      </c>
      <c r="B26" s="5">
        <v>-120.38</v>
      </c>
      <c r="C26" s="5">
        <v>36.32</v>
      </c>
      <c r="D26" s="5">
        <v>41.15</v>
      </c>
      <c r="E26" s="5">
        <v>-102.85</v>
      </c>
      <c r="F26" s="5">
        <v>1</v>
      </c>
      <c r="G26" s="5">
        <v>-3.21</v>
      </c>
      <c r="H26" s="5">
        <v>28.035216979026792</v>
      </c>
      <c r="I26" s="5">
        <v>9.6976010503913272</v>
      </c>
      <c r="J26" s="5">
        <v>9.6976010503913272</v>
      </c>
      <c r="K26" t="s">
        <v>52</v>
      </c>
      <c r="M26" t="s">
        <v>96</v>
      </c>
      <c r="O26" s="1"/>
    </row>
    <row r="27" spans="1:15" x14ac:dyDescent="0.2">
      <c r="A27" t="s">
        <v>125</v>
      </c>
      <c r="B27" s="5">
        <v>-75.08</v>
      </c>
      <c r="C27" s="5">
        <v>39.39</v>
      </c>
      <c r="D27" s="5">
        <v>37.65</v>
      </c>
      <c r="E27" s="5">
        <v>-56.75</v>
      </c>
      <c r="F27" s="5">
        <v>1</v>
      </c>
      <c r="G27" s="5">
        <v>-3.81</v>
      </c>
      <c r="H27" s="5">
        <v>33.180140937805177</v>
      </c>
      <c r="I27" s="5">
        <v>2.9794978124600986</v>
      </c>
      <c r="J27" s="5">
        <v>2.9794978124600986</v>
      </c>
      <c r="K27" t="s">
        <v>128</v>
      </c>
      <c r="M27" s="10" t="s">
        <v>129</v>
      </c>
    </row>
    <row r="28" spans="1:15" x14ac:dyDescent="0.2">
      <c r="A28" t="s">
        <v>126</v>
      </c>
      <c r="B28" s="5">
        <f>3+5.996/60</f>
        <v>3.0999333333333334</v>
      </c>
      <c r="C28" s="5">
        <f>-64-31.009/60</f>
        <v>-64.516816666666671</v>
      </c>
      <c r="D28" s="5">
        <v>-65</v>
      </c>
      <c r="E28" s="5">
        <v>0.65</v>
      </c>
      <c r="F28" s="5">
        <v>1</v>
      </c>
      <c r="G28" s="5">
        <v>-1.6</v>
      </c>
      <c r="H28" s="5">
        <v>19.233988691329948</v>
      </c>
      <c r="I28" s="5">
        <v>2.2747647383027045</v>
      </c>
      <c r="J28" s="5">
        <v>2.2747647383027045</v>
      </c>
      <c r="K28" t="s">
        <v>128</v>
      </c>
      <c r="M28" s="10" t="s">
        <v>129</v>
      </c>
    </row>
    <row r="29" spans="1:15" x14ac:dyDescent="0.2">
      <c r="A29" t="s">
        <v>18</v>
      </c>
      <c r="B29" s="5">
        <v>-8.81</v>
      </c>
      <c r="C29" s="5">
        <v>47.43</v>
      </c>
      <c r="D29" s="5">
        <v>41.95</v>
      </c>
      <c r="E29" s="5">
        <v>-10.95</v>
      </c>
      <c r="F29" s="5">
        <v>1</v>
      </c>
      <c r="G29" s="5">
        <v>-2.46</v>
      </c>
      <c r="H29" s="5">
        <v>24.158631137847898</v>
      </c>
      <c r="I29" s="5">
        <v>0.37</v>
      </c>
      <c r="J29" s="5">
        <v>0.37</v>
      </c>
      <c r="K29" t="s">
        <v>130</v>
      </c>
      <c r="M29" s="10" t="s">
        <v>110</v>
      </c>
      <c r="O29" s="1" t="s">
        <v>139</v>
      </c>
    </row>
    <row r="30" spans="1:15" x14ac:dyDescent="0.2">
      <c r="A30" s="1" t="s">
        <v>5</v>
      </c>
      <c r="H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workbookViewId="0"/>
  </sheetViews>
  <sheetFormatPr baseColWidth="10" defaultRowHeight="16" x14ac:dyDescent="0.2"/>
  <cols>
    <col min="1" max="1" width="15.83203125" customWidth="1"/>
    <col min="6" max="6" width="10.83203125" customWidth="1"/>
    <col min="8" max="10" width="10.83203125" style="3" customWidth="1"/>
    <col min="11" max="14" width="10.83203125" customWidth="1"/>
  </cols>
  <sheetData>
    <row r="1" spans="1:15" s="1" customFormat="1" x14ac:dyDescent="0.2">
      <c r="A1" s="1" t="s">
        <v>0</v>
      </c>
      <c r="B1" s="1" t="s">
        <v>2</v>
      </c>
      <c r="C1" s="1" t="s">
        <v>1</v>
      </c>
      <c r="D1" s="1" t="s">
        <v>114</v>
      </c>
      <c r="E1" s="1" t="s">
        <v>113</v>
      </c>
      <c r="F1" s="1" t="s">
        <v>3</v>
      </c>
      <c r="G1" s="1" t="s">
        <v>4</v>
      </c>
      <c r="H1" s="2" t="s">
        <v>10</v>
      </c>
      <c r="I1" s="2" t="s">
        <v>11</v>
      </c>
      <c r="J1" s="2" t="s">
        <v>12</v>
      </c>
      <c r="K1" s="1" t="s">
        <v>8</v>
      </c>
      <c r="L1" s="1" t="s">
        <v>134</v>
      </c>
      <c r="M1" s="1" t="s">
        <v>62</v>
      </c>
      <c r="N1" s="1" t="s">
        <v>63</v>
      </c>
      <c r="O1" s="1" t="s">
        <v>108</v>
      </c>
    </row>
    <row r="2" spans="1:15" x14ac:dyDescent="0.2">
      <c r="A2" t="s">
        <v>43</v>
      </c>
      <c r="B2" s="5">
        <v>-74.400000000000006</v>
      </c>
      <c r="C2" s="5">
        <v>39.630000000000003</v>
      </c>
      <c r="D2" s="5">
        <v>-55.55</v>
      </c>
      <c r="E2" s="5">
        <v>38.450000000000003</v>
      </c>
      <c r="F2" s="5">
        <v>3</v>
      </c>
      <c r="G2" s="5">
        <v>0.748</v>
      </c>
      <c r="H2" s="5">
        <v>30.2</v>
      </c>
      <c r="I2" s="5">
        <v>7.6</v>
      </c>
      <c r="J2" s="5">
        <v>4.7</v>
      </c>
      <c r="K2" t="s">
        <v>93</v>
      </c>
      <c r="L2" t="s">
        <v>133</v>
      </c>
      <c r="M2" s="10" t="s">
        <v>94</v>
      </c>
    </row>
    <row r="3" spans="1:15" x14ac:dyDescent="0.2">
      <c r="A3" t="s">
        <v>44</v>
      </c>
      <c r="B3" s="5">
        <f>-75-2/60</f>
        <v>-75.033333333333331</v>
      </c>
      <c r="C3" s="5">
        <f>39+39/60</f>
        <v>39.65</v>
      </c>
      <c r="D3" s="5">
        <v>-56.45</v>
      </c>
      <c r="E3" s="5">
        <v>38.65</v>
      </c>
      <c r="F3" s="5">
        <v>3</v>
      </c>
      <c r="G3" s="5">
        <v>0.7</v>
      </c>
      <c r="H3" s="5">
        <v>28.1</v>
      </c>
      <c r="I3" s="5">
        <v>7.5</v>
      </c>
      <c r="J3" s="5">
        <v>4.3</v>
      </c>
      <c r="K3" t="s">
        <v>97</v>
      </c>
      <c r="L3" t="s">
        <v>133</v>
      </c>
      <c r="M3" t="s">
        <v>98</v>
      </c>
    </row>
    <row r="4" spans="1:15" x14ac:dyDescent="0.2">
      <c r="A4" t="s">
        <v>40</v>
      </c>
      <c r="B4" s="5">
        <v>149.93</v>
      </c>
      <c r="C4" s="5">
        <v>-43.96</v>
      </c>
      <c r="D4" s="5">
        <v>159</v>
      </c>
      <c r="E4" s="5">
        <v>-64.45</v>
      </c>
      <c r="F4" s="5">
        <v>3</v>
      </c>
      <c r="G4" s="5">
        <v>0.65200000000000002</v>
      </c>
      <c r="H4" s="5">
        <v>25.7</v>
      </c>
      <c r="I4" s="5">
        <v>7</v>
      </c>
      <c r="J4" s="5">
        <v>5.5</v>
      </c>
      <c r="K4" t="s">
        <v>101</v>
      </c>
      <c r="L4" t="s">
        <v>133</v>
      </c>
      <c r="M4" s="10" t="s">
        <v>78</v>
      </c>
    </row>
    <row r="5" spans="1:15" x14ac:dyDescent="0.2">
      <c r="A5" t="s">
        <v>45</v>
      </c>
      <c r="B5" s="5">
        <v>9.1</v>
      </c>
      <c r="C5" s="5">
        <v>56.8</v>
      </c>
      <c r="D5" s="5">
        <v>4.05</v>
      </c>
      <c r="E5" s="5">
        <v>52.65</v>
      </c>
      <c r="F5" s="5">
        <v>3</v>
      </c>
      <c r="G5" s="5">
        <v>0.53</v>
      </c>
      <c r="H5" s="5">
        <v>17.7</v>
      </c>
      <c r="I5" s="5">
        <v>6.1</v>
      </c>
      <c r="J5" s="5">
        <v>4.9000000000000004</v>
      </c>
      <c r="K5" t="s">
        <v>102</v>
      </c>
      <c r="L5" t="s">
        <v>137</v>
      </c>
      <c r="M5" t="s">
        <v>103</v>
      </c>
    </row>
    <row r="6" spans="1:15" x14ac:dyDescent="0.2">
      <c r="A6" t="s">
        <v>46</v>
      </c>
      <c r="B6" s="5">
        <v>11.1</v>
      </c>
      <c r="C6" s="5">
        <v>55.3</v>
      </c>
      <c r="D6" s="5">
        <v>6.25</v>
      </c>
      <c r="E6" s="5">
        <v>50.8</v>
      </c>
      <c r="F6" s="5">
        <v>3</v>
      </c>
      <c r="G6" s="5">
        <v>0.56399999999999995</v>
      </c>
      <c r="H6" s="5">
        <v>20</v>
      </c>
      <c r="I6" s="5">
        <v>5.4</v>
      </c>
      <c r="J6" s="5">
        <v>5</v>
      </c>
      <c r="K6" t="s">
        <v>102</v>
      </c>
      <c r="L6" t="s">
        <v>137</v>
      </c>
      <c r="M6" t="s">
        <v>103</v>
      </c>
    </row>
    <row r="7" spans="1:15" x14ac:dyDescent="0.2">
      <c r="A7" t="s">
        <v>51</v>
      </c>
      <c r="B7" s="5">
        <f>-88-43/60-14/3600</f>
        <v>-88.720555555555563</v>
      </c>
      <c r="C7" s="5">
        <f>32+15/60+4/3600</f>
        <v>32.251111111111108</v>
      </c>
      <c r="D7" s="5">
        <v>-72</v>
      </c>
      <c r="E7" s="5">
        <v>32.85</v>
      </c>
      <c r="F7" s="5">
        <v>3</v>
      </c>
      <c r="G7" s="5">
        <v>0.73</v>
      </c>
      <c r="H7" s="5">
        <v>29.4</v>
      </c>
      <c r="I7" s="5">
        <v>7.6</v>
      </c>
      <c r="J7" s="5">
        <v>4.5</v>
      </c>
      <c r="K7" t="s">
        <v>105</v>
      </c>
      <c r="L7" t="s">
        <v>133</v>
      </c>
      <c r="M7" s="10" t="s">
        <v>104</v>
      </c>
    </row>
    <row r="8" spans="1:15" x14ac:dyDescent="0.2">
      <c r="A8" t="s">
        <v>119</v>
      </c>
      <c r="B8" s="5">
        <v>3.63</v>
      </c>
      <c r="C8" s="5">
        <v>6.8</v>
      </c>
      <c r="D8" s="5">
        <v>-1.25</v>
      </c>
      <c r="E8" s="5">
        <v>-0.45</v>
      </c>
      <c r="F8" s="5">
        <v>3</v>
      </c>
      <c r="G8" s="5">
        <v>0.82599999999999996</v>
      </c>
      <c r="H8" s="5">
        <v>35.6</v>
      </c>
      <c r="I8" s="5">
        <v>8.6999999999999993</v>
      </c>
      <c r="J8" s="5">
        <v>7</v>
      </c>
      <c r="K8" t="s">
        <v>55</v>
      </c>
      <c r="L8" t="s">
        <v>138</v>
      </c>
      <c r="M8" s="10" t="s">
        <v>106</v>
      </c>
    </row>
    <row r="9" spans="1:15" x14ac:dyDescent="0.2">
      <c r="A9" t="s">
        <v>120</v>
      </c>
      <c r="B9" s="5">
        <v>3.63</v>
      </c>
      <c r="C9" s="5">
        <v>6.8</v>
      </c>
      <c r="D9" s="5">
        <v>-1.25</v>
      </c>
      <c r="E9" s="5">
        <v>-0.45</v>
      </c>
      <c r="F9" s="5">
        <v>3</v>
      </c>
      <c r="G9" s="5">
        <v>0.85099999999999998</v>
      </c>
      <c r="H9" s="5">
        <v>36.5</v>
      </c>
      <c r="I9" s="5">
        <v>8.6</v>
      </c>
      <c r="J9" s="5">
        <v>6.4</v>
      </c>
      <c r="K9" t="s">
        <v>55</v>
      </c>
      <c r="L9" t="s">
        <v>138</v>
      </c>
      <c r="M9" s="10" t="s">
        <v>106</v>
      </c>
    </row>
    <row r="10" spans="1:15" x14ac:dyDescent="0.2">
      <c r="A10" t="s">
        <v>49</v>
      </c>
      <c r="B10" s="5">
        <v>3.63</v>
      </c>
      <c r="C10" s="5">
        <v>6.8</v>
      </c>
      <c r="D10" s="5">
        <v>-1.25</v>
      </c>
      <c r="E10" s="5">
        <v>-0.45</v>
      </c>
      <c r="F10" s="5">
        <v>3</v>
      </c>
      <c r="G10" s="5">
        <v>0.84399999999999997</v>
      </c>
      <c r="H10" s="5">
        <v>36.4</v>
      </c>
      <c r="I10" s="5">
        <v>8.6999999999999993</v>
      </c>
      <c r="J10" s="5">
        <v>7</v>
      </c>
      <c r="K10" t="s">
        <v>55</v>
      </c>
      <c r="L10" t="s">
        <v>138</v>
      </c>
      <c r="M10" s="10" t="s">
        <v>106</v>
      </c>
    </row>
    <row r="11" spans="1:15" x14ac:dyDescent="0.2">
      <c r="A11" t="s">
        <v>37</v>
      </c>
      <c r="B11" s="5">
        <v>-2.7357999999999998</v>
      </c>
      <c r="C11" s="5">
        <v>3.6276000000000002</v>
      </c>
      <c r="D11" s="5">
        <v>-8.5500000000000007</v>
      </c>
      <c r="E11" s="5">
        <v>-2.65</v>
      </c>
      <c r="F11" s="5">
        <v>3</v>
      </c>
      <c r="G11" s="5">
        <v>0.84299999999999997</v>
      </c>
      <c r="H11" s="5">
        <v>36.200000000000003</v>
      </c>
      <c r="I11" s="5">
        <v>8.6999999999999993</v>
      </c>
      <c r="J11" s="5">
        <v>6.6</v>
      </c>
      <c r="K11" t="s">
        <v>38</v>
      </c>
      <c r="L11" t="s">
        <v>133</v>
      </c>
      <c r="M11" s="10" t="s">
        <v>85</v>
      </c>
      <c r="N11" s="10" t="s">
        <v>84</v>
      </c>
    </row>
    <row r="12" spans="1:15" x14ac:dyDescent="0.2">
      <c r="A12" t="s">
        <v>43</v>
      </c>
      <c r="B12" s="5">
        <v>-74.400000000000006</v>
      </c>
      <c r="C12" s="5">
        <v>39.630000000000003</v>
      </c>
      <c r="D12" s="5">
        <v>-55.55</v>
      </c>
      <c r="E12" s="5">
        <v>38.450000000000003</v>
      </c>
      <c r="F12" s="5">
        <v>2</v>
      </c>
      <c r="G12" s="5">
        <v>2.65</v>
      </c>
      <c r="H12" s="5">
        <v>21.5</v>
      </c>
      <c r="I12" s="5">
        <v>4.7</v>
      </c>
      <c r="J12" s="5">
        <v>4.7</v>
      </c>
      <c r="K12" t="s">
        <v>53</v>
      </c>
      <c r="M12" t="s">
        <v>95</v>
      </c>
      <c r="O12" s="1"/>
    </row>
    <row r="13" spans="1:15" x14ac:dyDescent="0.2">
      <c r="A13" t="s">
        <v>13</v>
      </c>
      <c r="B13" s="5">
        <v>158.506</v>
      </c>
      <c r="C13" s="5">
        <v>32.652000000000001</v>
      </c>
      <c r="D13" s="5">
        <v>-161.44999999999999</v>
      </c>
      <c r="E13" s="5">
        <v>22.2</v>
      </c>
      <c r="F13" s="5">
        <v>2</v>
      </c>
      <c r="G13" s="5">
        <v>3.63</v>
      </c>
      <c r="H13" s="5">
        <v>26.6</v>
      </c>
      <c r="I13" s="5">
        <v>4.7</v>
      </c>
      <c r="J13" s="5">
        <v>4.7</v>
      </c>
      <c r="K13" t="s">
        <v>111</v>
      </c>
      <c r="M13" s="10" t="s">
        <v>112</v>
      </c>
      <c r="O13" s="1"/>
    </row>
    <row r="14" spans="1:15" x14ac:dyDescent="0.2">
      <c r="A14" t="s">
        <v>15</v>
      </c>
      <c r="B14" s="5">
        <v>1.7633000000000001</v>
      </c>
      <c r="C14" s="5">
        <v>-28.041499999999999</v>
      </c>
      <c r="D14" s="5">
        <v>-7.75</v>
      </c>
      <c r="E14" s="5">
        <v>-34.950000000000003</v>
      </c>
      <c r="F14" s="5">
        <v>2</v>
      </c>
      <c r="G14" s="5">
        <v>3.42</v>
      </c>
      <c r="H14" s="5">
        <v>25.6</v>
      </c>
      <c r="I14" s="5">
        <v>4.7</v>
      </c>
      <c r="J14" s="5">
        <v>4.7</v>
      </c>
      <c r="K14" t="s">
        <v>16</v>
      </c>
      <c r="M14" s="10" t="s">
        <v>109</v>
      </c>
      <c r="N14" t="s">
        <v>69</v>
      </c>
    </row>
    <row r="15" spans="1:15" x14ac:dyDescent="0.2">
      <c r="A15" t="s">
        <v>18</v>
      </c>
      <c r="B15" s="5">
        <v>-8.8102999999999998</v>
      </c>
      <c r="C15" s="5">
        <v>47.427</v>
      </c>
      <c r="D15" s="5">
        <v>-10.95</v>
      </c>
      <c r="E15" s="5">
        <v>41.95</v>
      </c>
      <c r="F15" s="5">
        <v>2</v>
      </c>
      <c r="G15" s="5">
        <v>3.46</v>
      </c>
      <c r="H15" s="5">
        <v>25.8</v>
      </c>
      <c r="I15" s="5">
        <v>4.7</v>
      </c>
      <c r="J15" s="5">
        <v>4.7</v>
      </c>
      <c r="K15" t="s">
        <v>17</v>
      </c>
      <c r="M15" s="10" t="s">
        <v>110</v>
      </c>
      <c r="N15" t="s">
        <v>69</v>
      </c>
    </row>
    <row r="16" spans="1:15" x14ac:dyDescent="0.2">
      <c r="A16" t="s">
        <v>49</v>
      </c>
      <c r="B16" s="5">
        <v>3.6</v>
      </c>
      <c r="C16" s="5">
        <v>6.8</v>
      </c>
      <c r="D16" s="5">
        <v>-1.25</v>
      </c>
      <c r="E16" s="5">
        <v>-0.45</v>
      </c>
      <c r="F16" s="5">
        <v>2</v>
      </c>
      <c r="G16" s="5">
        <v>4.58</v>
      </c>
      <c r="H16" s="5">
        <v>30.3</v>
      </c>
      <c r="I16" s="5">
        <v>4.7</v>
      </c>
      <c r="J16" s="5">
        <v>4.7</v>
      </c>
      <c r="K16" t="s">
        <v>23</v>
      </c>
      <c r="M16" s="10" t="s">
        <v>106</v>
      </c>
      <c r="N16" t="s">
        <v>69</v>
      </c>
    </row>
    <row r="17" spans="1:15" x14ac:dyDescent="0.2">
      <c r="A17" t="s">
        <v>28</v>
      </c>
      <c r="B17" s="5">
        <v>166.191</v>
      </c>
      <c r="C17" s="5">
        <v>-52.223999999999997</v>
      </c>
      <c r="D17" s="5">
        <v>-173.95</v>
      </c>
      <c r="E17" s="5">
        <v>-62.45</v>
      </c>
      <c r="F17" s="5">
        <v>2</v>
      </c>
      <c r="G17" s="5">
        <v>3.72</v>
      </c>
      <c r="H17" s="5">
        <v>27.4</v>
      </c>
      <c r="I17" s="5">
        <v>4.7</v>
      </c>
      <c r="J17" s="5">
        <v>4.7</v>
      </c>
      <c r="K17" t="s">
        <v>24</v>
      </c>
      <c r="M17" t="s">
        <v>71</v>
      </c>
      <c r="N17" t="s">
        <v>69</v>
      </c>
    </row>
    <row r="18" spans="1:15" x14ac:dyDescent="0.2">
      <c r="A18" t="s">
        <v>19</v>
      </c>
      <c r="B18" s="5">
        <v>-179.55500000000001</v>
      </c>
      <c r="C18" s="5">
        <v>18.440329999999999</v>
      </c>
      <c r="D18" s="5">
        <v>-143.85</v>
      </c>
      <c r="E18" s="5">
        <v>4.8499999999999996</v>
      </c>
      <c r="F18" s="5">
        <v>2</v>
      </c>
      <c r="G18" s="5">
        <v>4.1500000000000004</v>
      </c>
      <c r="H18" s="5">
        <v>28.7</v>
      </c>
      <c r="I18" s="5">
        <v>4.7</v>
      </c>
      <c r="J18" s="5">
        <v>4.7</v>
      </c>
      <c r="K18" t="s">
        <v>117</v>
      </c>
      <c r="M18" t="s">
        <v>70</v>
      </c>
      <c r="O18" s="1"/>
    </row>
    <row r="19" spans="1:15" x14ac:dyDescent="0.2">
      <c r="A19" s="7" t="s">
        <v>43</v>
      </c>
      <c r="B19" s="8">
        <v>-74.400000000000006</v>
      </c>
      <c r="C19" s="8">
        <v>39.630000000000003</v>
      </c>
      <c r="D19" s="8">
        <v>-55.55</v>
      </c>
      <c r="E19" s="8">
        <v>38.450000000000003</v>
      </c>
      <c r="F19" s="5">
        <v>1</v>
      </c>
      <c r="G19" s="8">
        <v>-2.5299999999999998</v>
      </c>
      <c r="H19" s="5">
        <v>27.036140937805179</v>
      </c>
      <c r="I19" s="5">
        <v>2.9794978124600937</v>
      </c>
      <c r="J19" s="5">
        <v>2.9794978124600937</v>
      </c>
      <c r="K19" t="s">
        <v>52</v>
      </c>
      <c r="M19" t="s">
        <v>96</v>
      </c>
      <c r="O19" s="1"/>
    </row>
    <row r="20" spans="1:15" x14ac:dyDescent="0.2">
      <c r="A20" t="s">
        <v>92</v>
      </c>
      <c r="B20" s="5">
        <v>39.51</v>
      </c>
      <c r="C20" s="5">
        <v>-9.2799999999999994</v>
      </c>
      <c r="D20" s="8">
        <v>34.15</v>
      </c>
      <c r="E20" s="8">
        <v>-18.649999999999999</v>
      </c>
      <c r="F20" s="5">
        <v>1</v>
      </c>
      <c r="G20" s="8">
        <v>-3.38</v>
      </c>
      <c r="H20" s="5">
        <v>30.127272748947142</v>
      </c>
      <c r="I20" s="5">
        <v>3.3941861988430992</v>
      </c>
      <c r="J20" s="5">
        <v>3.3941861988430992</v>
      </c>
      <c r="K20" t="s">
        <v>54</v>
      </c>
      <c r="M20" t="s">
        <v>86</v>
      </c>
      <c r="O20" s="1"/>
    </row>
    <row r="21" spans="1:15" x14ac:dyDescent="0.2">
      <c r="A21" s="7" t="s">
        <v>49</v>
      </c>
      <c r="B21" s="8">
        <v>3.6</v>
      </c>
      <c r="C21" s="8">
        <v>6.8</v>
      </c>
      <c r="D21" s="8">
        <v>-1.25</v>
      </c>
      <c r="E21" s="8">
        <v>-0.45</v>
      </c>
      <c r="F21" s="5">
        <v>1</v>
      </c>
      <c r="G21" s="8">
        <v>-3.59</v>
      </c>
      <c r="H21" s="5">
        <v>32.179243743896485</v>
      </c>
      <c r="I21" s="5">
        <v>3.7569185127529647</v>
      </c>
      <c r="J21" s="5">
        <v>3.7569185127529647</v>
      </c>
      <c r="K21" t="s">
        <v>55</v>
      </c>
      <c r="M21" s="10" t="s">
        <v>106</v>
      </c>
      <c r="O21" s="1"/>
    </row>
    <row r="22" spans="1:15" x14ac:dyDescent="0.2">
      <c r="A22" s="7" t="s">
        <v>28</v>
      </c>
      <c r="B22" s="8">
        <v>166.191</v>
      </c>
      <c r="C22" s="8">
        <v>-52.223999999999997</v>
      </c>
      <c r="D22" s="8">
        <v>-173.95</v>
      </c>
      <c r="E22" s="8">
        <v>-62.45</v>
      </c>
      <c r="F22" s="5">
        <v>1</v>
      </c>
      <c r="G22" s="8">
        <v>-1.44</v>
      </c>
      <c r="H22" s="5">
        <v>16.820616376876842</v>
      </c>
      <c r="I22" s="5">
        <v>8.7232975169214289</v>
      </c>
      <c r="J22" s="5">
        <v>8.7232975169214289</v>
      </c>
      <c r="K22" t="s">
        <v>59</v>
      </c>
      <c r="M22" t="s">
        <v>87</v>
      </c>
      <c r="O22" s="1"/>
    </row>
    <row r="23" spans="1:15" x14ac:dyDescent="0.2">
      <c r="A23" t="s">
        <v>125</v>
      </c>
      <c r="B23" s="5">
        <v>-75.08</v>
      </c>
      <c r="C23" s="5">
        <v>39.39</v>
      </c>
      <c r="D23" s="5">
        <v>-56.75</v>
      </c>
      <c r="E23" s="5">
        <v>37.65</v>
      </c>
      <c r="F23" s="5">
        <v>1</v>
      </c>
      <c r="G23" s="8">
        <v>-3</v>
      </c>
      <c r="H23" s="5">
        <v>29.292140937805179</v>
      </c>
      <c r="I23" s="5">
        <v>2.9794978124600937</v>
      </c>
      <c r="J23" s="5">
        <v>2.9794978124600937</v>
      </c>
      <c r="K23" t="s">
        <v>128</v>
      </c>
      <c r="M23" s="10" t="s">
        <v>129</v>
      </c>
    </row>
    <row r="24" spans="1:15" x14ac:dyDescent="0.2">
      <c r="A24" t="s">
        <v>126</v>
      </c>
      <c r="B24" s="5">
        <f>3+5.996/60</f>
        <v>3.0999333333333334</v>
      </c>
      <c r="C24" s="5">
        <f>-64-31.009/60</f>
        <v>-64.516816666666671</v>
      </c>
      <c r="D24" s="5">
        <v>0.65</v>
      </c>
      <c r="E24" s="5">
        <v>-65</v>
      </c>
      <c r="F24" s="5">
        <v>1</v>
      </c>
      <c r="G24" s="8">
        <v>-0.8</v>
      </c>
      <c r="H24" s="5">
        <v>15.393988691329946</v>
      </c>
      <c r="I24" s="5">
        <v>2.2747647383027045</v>
      </c>
      <c r="J24" s="5">
        <v>2.2747647383027045</v>
      </c>
      <c r="K24" t="s">
        <v>128</v>
      </c>
      <c r="M24" s="10" t="s">
        <v>129</v>
      </c>
    </row>
    <row r="25" spans="1:15" x14ac:dyDescent="0.2">
      <c r="A25" t="s">
        <v>18</v>
      </c>
      <c r="B25" s="5">
        <v>-8.81</v>
      </c>
      <c r="C25" s="5">
        <v>47.43</v>
      </c>
      <c r="D25" s="5">
        <v>-10.95</v>
      </c>
      <c r="E25" s="5">
        <v>41.95</v>
      </c>
      <c r="F25" s="5">
        <v>1</v>
      </c>
      <c r="G25" s="8">
        <v>-1.21</v>
      </c>
      <c r="H25" s="5">
        <v>18.158631137847898</v>
      </c>
      <c r="I25" s="5">
        <v>0.37</v>
      </c>
      <c r="J25" s="5">
        <v>0.37</v>
      </c>
      <c r="K25" t="s">
        <v>130</v>
      </c>
      <c r="M25" s="10" t="s">
        <v>110</v>
      </c>
      <c r="O25" s="1" t="s">
        <v>139</v>
      </c>
    </row>
    <row r="26" spans="1:15" x14ac:dyDescent="0.2">
      <c r="A26" t="s">
        <v>127</v>
      </c>
      <c r="B26" s="5">
        <v>-13.98</v>
      </c>
      <c r="C26" s="5">
        <v>49.08</v>
      </c>
      <c r="D26" s="5">
        <v>-15.65</v>
      </c>
      <c r="E26" s="5">
        <v>43.75</v>
      </c>
      <c r="F26" s="5">
        <v>1</v>
      </c>
      <c r="G26" s="8">
        <v>-2.42</v>
      </c>
      <c r="H26" s="5">
        <v>21.956178419113169</v>
      </c>
      <c r="I26" s="5">
        <v>4.3655417083963695</v>
      </c>
      <c r="J26" s="5">
        <v>4.3655417083963695</v>
      </c>
      <c r="K26" t="s">
        <v>131</v>
      </c>
      <c r="M26" s="10" t="s">
        <v>132</v>
      </c>
    </row>
    <row r="27" spans="1:15" x14ac:dyDescent="0.2">
      <c r="A2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SST_Eocene</vt:lpstr>
      <vt:lpstr>SST_PETM</vt:lpstr>
      <vt:lpstr>SST_prePETM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Tierney</dc:creator>
  <cp:lastModifiedBy>Ke Xu</cp:lastModifiedBy>
  <dcterms:created xsi:type="dcterms:W3CDTF">2018-07-12T20:12:59Z</dcterms:created>
  <dcterms:modified xsi:type="dcterms:W3CDTF">2019-06-09T01:05:28Z</dcterms:modified>
</cp:coreProperties>
</file>